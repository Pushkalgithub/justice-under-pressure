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showInkAnnotation="0" codeName="ThisWorkbook" autoCompressPictures="0"/>
  <mc:AlternateContent xmlns:mc="http://schemas.openxmlformats.org/markup-compatibility/2006">
    <mc:Choice Requires="x15">
      <x15ac:absPath xmlns:x15ac="http://schemas.microsoft.com/office/spreadsheetml/2010/11/ac" url="https://unsw-my.sharepoint.com/personal/z5715267_ad_unsw_edu_au/Documents/Varsha @ UNSW/Term1@2026/DATA5002-DataVisualization/Labs/Project1/"/>
    </mc:Choice>
  </mc:AlternateContent>
  <xr:revisionPtr revIDLastSave="0" documentId="8_{3395787D-B797-44A7-B7F5-21D1BDD432A7}" xr6:coauthVersionLast="47" xr6:coauthVersionMax="47" xr10:uidLastSave="{00000000-0000-0000-0000-000000000000}"/>
  <bookViews>
    <workbookView xWindow="-98" yWindow="-98" windowWidth="23596" windowHeight="15076" tabRatio="810" firstSheet="2" activeTab="2" xr2:uid="{00000000-000D-0000-FFFF-FFFF00000000}"/>
  </bookViews>
  <sheets>
    <sheet name="Cover" sheetId="39" r:id="rId1"/>
    <sheet name="Table Of Contents" sheetId="24" r:id="rId2"/>
    <sheet name="CourtDelay" sheetId="41" r:id="rId3"/>
    <sheet name="Explanatory Notes" sheetId="37" r:id="rId4"/>
  </sheets>
  <definedNames>
    <definedName name="_xlnm.Print_Area" localSheetId="0">Cover!$A$1:$T$51</definedName>
    <definedName name="Z_BCB8493F_06F1_463E_A855_0757E0460A5B_.wvu.PrintArea" localSheetId="0" hidden="1">Cover!$A$1:$T$51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4" l="1"/>
  <c r="D20" i="24"/>
  <c r="G4" i="24"/>
  <c r="F4" i="24"/>
  <c r="E4" i="24"/>
  <c r="D4" i="24"/>
  <c r="C4" i="24"/>
  <c r="A1" i="24"/>
  <c r="D2" i="24"/>
  <c r="D16" i="24"/>
  <c r="D24" i="24"/>
  <c r="D23" i="24"/>
  <c r="D22" i="24"/>
  <c r="D21" i="24"/>
  <c r="D11" i="24"/>
  <c r="D9" i="24"/>
  <c r="D30" i="24"/>
  <c r="D29" i="24"/>
  <c r="D28" i="24"/>
  <c r="D12" i="24"/>
  <c r="D10" i="24"/>
  <c r="D14" i="24"/>
  <c r="D35" i="24"/>
  <c r="A164" i="37"/>
  <c r="D26" i="24"/>
  <c r="D31" i="24"/>
  <c r="D13" i="24"/>
  <c r="A32" i="37"/>
  <c r="D19" i="24"/>
  <c r="D34" i="24"/>
  <c r="D8" i="24"/>
  <c r="D15" i="24"/>
  <c r="D27" i="24"/>
  <c r="D32" i="24"/>
</calcChain>
</file>

<file path=xl/sharedStrings.xml><?xml version="1.0" encoding="utf-8"?>
<sst xmlns="http://schemas.openxmlformats.org/spreadsheetml/2006/main" count="190" uniqueCount="156">
  <si>
    <t xml:space="preserve">NSW Criminal Courts Statistics </t>
  </si>
  <si>
    <t>July 2020 to June 2025</t>
  </si>
  <si>
    <t>&gt;  Table of Contents</t>
  </si>
  <si>
    <t>For further information about these and related statistics, contact the NSW Bureau of Crime Statistics and Research via:</t>
  </si>
  <si>
    <t>Email</t>
  </si>
  <si>
    <t>bcsr@dcj.nsw.gov.au</t>
  </si>
  <si>
    <t>Phone</t>
  </si>
  <si>
    <t>(02) 8688 9800</t>
  </si>
  <si>
    <t>bocsar.nsw.gov.au</t>
  </si>
  <si>
    <t>Explanatory Notes</t>
  </si>
  <si>
    <r>
      <t xml:space="preserve">This publication uses BOCSAR Standard Offence Classification (BSOC) 2023 to group offences. BSOC 2023 is a modified version of the </t>
    </r>
    <r>
      <rPr>
        <u/>
        <sz val="10"/>
        <rFont val="Arial"/>
        <family val="2"/>
      </rPr>
      <t>Australian Bureau of Statistics Australian and New Zealand Standard Offence Classification (ANZSOC) 2023</t>
    </r>
    <r>
      <rPr>
        <sz val="10"/>
        <rFont val="Arial"/>
        <family val="2"/>
      </rPr>
      <t>, adapted to better suit the criminal offence legislations in NSW. Criminal Court Statistics reports published before 2025 used ANZSOC 2011 to group offences, and there are material differences in the way offences are grouped between ANZSOC 2011 and BSOC 2023. This means the offence groups used in this report cannot be directly compared with those in reports published prior to 2025. See Explanatory Notes for more details.</t>
    </r>
  </si>
  <si>
    <t>Contents</t>
  </si>
  <si>
    <t>Table Number</t>
  </si>
  <si>
    <t>Summary and detailed offence information</t>
  </si>
  <si>
    <t>3a</t>
  </si>
  <si>
    <t>5a</t>
  </si>
  <si>
    <t>Domestic violence offences information</t>
  </si>
  <si>
    <t>10a</t>
  </si>
  <si>
    <t>15a</t>
  </si>
  <si>
    <t>Aboriginality data</t>
  </si>
  <si>
    <t>14a</t>
  </si>
  <si>
    <t>Custodial sentences</t>
  </si>
  <si>
    <t>More information available from the BOCSAR website</t>
  </si>
  <si>
    <t>For further information about these and related statistics, contact the NSW Bureau of Crime Statistics and Research on 02 8688 9800 or email bcsr@dcj.nsw.gov.au</t>
  </si>
  <si>
    <t>Court Type</t>
  </si>
  <si>
    <t>Timeframe</t>
  </si>
  <si>
    <t>Count</t>
  </si>
  <si>
    <t>Arrest to committal (c)</t>
  </si>
  <si>
    <t>Committal to outcome</t>
  </si>
  <si>
    <t>Outcome to sentence</t>
  </si>
  <si>
    <t>Arrest to finalisation (c)</t>
  </si>
  <si>
    <t>Supreme Court</t>
  </si>
  <si>
    <t>July 2020 - June 2021</t>
  </si>
  <si>
    <t>July 2021 - June 2022</t>
  </si>
  <si>
    <t>July 2022 - June 2023</t>
  </si>
  <si>
    <t>July 2023 - June 2024</t>
  </si>
  <si>
    <t>July 2024 - June 2025</t>
  </si>
  <si>
    <t>District Court</t>
  </si>
  <si>
    <t>Local Court</t>
  </si>
  <si>
    <t>Children's Court</t>
  </si>
  <si>
    <t>return to table of contents</t>
  </si>
  <si>
    <t>Introduction</t>
  </si>
  <si>
    <t>The publication presents information on the characteristics of defendants dealt with by NSW criminal courts. This includes information on the offences, case outcomes and sentences associated with those defendants.</t>
  </si>
  <si>
    <t>This publication deals with criminal matters finalised by the NSW Higher, Local and Children’s Courts.</t>
  </si>
  <si>
    <t>Higher Courts</t>
  </si>
  <si>
    <t>There are two major jurisdictions in the NSW Higher Courts: the Supreme Court, which hears cases in Sydney and on circuit in country centres, and the District Court, which sits at a number of metropolitan and country court houses. The Supreme Court deals with the most serious criminal matters. The District Court deals with all other matters on indictment and appeals against conviction or sentence arising from Local Court cases. The Supreme Court data in these tables excludes contempt of court proceedings referred from the civil jurisdiction for sentencing. The District Court data includes workplace health and safety prosecutions finalised in the District Court's summary jurisdiction.</t>
  </si>
  <si>
    <t>A lower court level which deals with the majority of all criminal cases are heard in NSW. The Local Court is presided over by a magistrate and has jurisdiction to try and sentence matters relating to summary offences. Under some circumstances, the Local Court may also deal with less serious indictable offences. Local Courts are also responsible for conducting preliminary (committal) hearings for indictable offences.</t>
  </si>
  <si>
    <t>The Children's Court hears and determines criminal charges against persons generally aged less than 18 years at the time the offence occurred. The Children's Court may also determine some minor indictable offences and conduct committal proceedings in relation to young people who have been charged with major indictable offences. In NSW children aged under 10 years cannot be charged with a criminal offence.</t>
  </si>
  <si>
    <t>Data Source</t>
  </si>
  <si>
    <t xml:space="preserve">Data was sourced from the JusticeLink system and maintained by the NSW Bureau of Crime Statistics and Research (BOCSAR). </t>
  </si>
  <si>
    <t>In most tables the counting unit is charges, persons charged or persons found guilty in finalised court appearances. Where the counting unit is the number of finalised charges, a person charged with more than one offence appears more than once.</t>
  </si>
  <si>
    <t>Minor criminal matters, such as regulatory driving offences issued through infringement notices and appeals to some offences are not included in the report.</t>
  </si>
  <si>
    <r>
      <t xml:space="preserve">This publication uses BOCSAR Standard Offence Classification (BSOC) 2023 to group offences. BSOC 2023 is a modified version of the </t>
    </r>
    <r>
      <rPr>
        <u/>
        <sz val="10"/>
        <rFont val="Arial"/>
        <family val="2"/>
      </rPr>
      <t>Australian Bureau of Statistics Australian and New Zealand Standard Offence Classification (ANZSOC) 2023</t>
    </r>
    <r>
      <rPr>
        <sz val="10"/>
        <rFont val="Arial"/>
        <family val="2"/>
      </rPr>
      <t xml:space="preserve">, adapted to better suit the criminal offence legislations in NSW. The main modifications include:
• Disaggregating ANZSOC 2023 Division 2 Assault into two BSOC Divisions, Domestic violence related assault and Non-domestic violence related assault
• Replacing the ANZSOC 2023 subdivisions 61 Burglary of a dwelling, 62 Burglary of a non-residential building and 69 Other burglary offences with BSOC subdivisions Aggravated burglary / Break and enter and Non-aggravated burglary / Break and enter
• Disaggregating ANZSOC 2023 group 1411 Breach of restraining order – violence into BSOC groups Breach of Apprehended Domestic Violence Order, Breach of Apprehended Personal Violence Order and Breach of restraining order - violence, other
</t>
    </r>
  </si>
  <si>
    <t xml:space="preserve">Criminal Court Statistics reports published before 2025 used ANZSOC 2011 to group offences. Where possible, the structure of the classification and content of offence groups from the ANZSOC 2011 was retained by the ABS in the ANZSOC 2023. There are however some material differences in the way offences are grouped between ANZSOC 20211 and ANZSOC 2023 (and therefore BSOC 2023), to reflect the evolution of criminal offence legislation, language, and social change. This means the offence groups used in this report cannot be directly compared with those in reports published prior to 2025. </t>
  </si>
  <si>
    <t>Reference period</t>
  </si>
  <si>
    <t>Definitions and explanations (in alphabetical order)</t>
  </si>
  <si>
    <r>
      <rPr>
        <b/>
        <i/>
        <sz val="10"/>
        <rFont val="Arial"/>
        <family val="2"/>
      </rPr>
      <t>Aboriginality:</t>
    </r>
    <r>
      <rPr>
        <b/>
        <sz val="10"/>
        <rFont val="Arial"/>
        <family val="2"/>
      </rPr>
      <t xml:space="preserve"> </t>
    </r>
    <r>
      <rPr>
        <sz val="10"/>
        <rFont val="Arial"/>
        <family val="2"/>
      </rPr>
      <t>Whether a defendant has ever identified as being of Aboriginal and/or Torres Strait Islander origin. The status is determined by self-identification. This data is sourced from the latest version of BOCSAR's Reoffending Database (ROD) and applied to all years. ROD contains “Aboriginality ever recorded” which is set to ‘Aboriginal’ for any person who had identified as being of Aboriginal and/or Torres Strait Islander origin in their contact with Police in relation to any charges finalised since 1994. Note that separate figures are not available for Aboriginal defendants and Torres Strait Islander defendants</t>
    </r>
    <r>
      <rPr>
        <b/>
        <sz val="10"/>
        <rFont val="Arial"/>
        <family val="2"/>
      </rPr>
      <t>.</t>
    </r>
  </si>
  <si>
    <r>
      <rPr>
        <b/>
        <i/>
        <sz val="10"/>
        <rFont val="Arial"/>
        <family val="2"/>
      </rPr>
      <t>Age:</t>
    </r>
    <r>
      <rPr>
        <sz val="10"/>
        <rFont val="Arial"/>
        <family val="2"/>
      </rPr>
      <t xml:space="preserve"> A defendant's age is the time elapsed (in years) between a defendant's date of birth and the date of finalisation. Juveniles are aged 10 to 17 years at the time of finalisation; adults are aged 18 years and over at the time of finalisation.</t>
    </r>
  </si>
  <si>
    <r>
      <rPr>
        <b/>
        <i/>
        <sz val="10"/>
        <color indexed="8"/>
        <rFont val="Arial"/>
        <family val="2"/>
      </rPr>
      <t>Appeal cases:</t>
    </r>
    <r>
      <rPr>
        <sz val="10"/>
        <color indexed="8"/>
        <rFont val="Arial"/>
        <family val="2"/>
      </rPr>
      <t xml:space="preserve"> Appeals (number and percentage) to the District Court are against conviction, severity or inadequacy of sentences imposed in the Local and Children’s Courts and against AVOs granted or not granted by the Local and Children’s Courts. Appeals by or against companies as well as persons are included.</t>
    </r>
  </si>
  <si>
    <t xml:space="preserve">There are four outcomes of appeals included: </t>
  </si>
  <si>
    <t>Appeal upheld for all matters: This includes either that the conviction or AVO was overturned for all matters appealed against; or that the penalty was varied (for a severity or inadequacy appeal) for all charges/orders appealed against.</t>
  </si>
  <si>
    <t>Appeal dismissed/withdrawn all matters: The court dismissed the appeal for all the charges/orders appealed against or that the appellant withdrew the appeal.</t>
  </si>
  <si>
    <t>Appeal upheld for some matters: The court dismissed the appeal on some charges/orders but upheld the appeal for at least one charge.</t>
  </si>
  <si>
    <t>Other (did not appear, died etc): The appeal was dismissed due to non-appearance of the appellant, the appellant's death, or the matters were referred to the Drug Court to be finalised with other offences.</t>
  </si>
  <si>
    <r>
      <rPr>
        <b/>
        <i/>
        <sz val="10"/>
        <color indexed="8"/>
        <rFont val="Arial"/>
        <family val="2"/>
      </rPr>
      <t xml:space="preserve">Apprehended Violence Orders (AVOs): </t>
    </r>
    <r>
      <rPr>
        <sz val="10"/>
        <color indexed="8"/>
        <rFont val="Arial"/>
        <family val="2"/>
      </rPr>
      <t>AVOs are legal orders which aim to protect individuals from violence, threats and harassment. There are two types of AVOs: domestic and personal AVOs (ADVOs and APVOs respectively). ADVOs are made by the court to protect individuals from violence, threats and harassment from a spouse, de facto partner, ex-partner, family member, carer or person living in the same household. APVOs are orders made by the court to protect individuals from violence, threats and harassment from anyone who they are not in a domestic or family relationship with. This publication only counts final orders issued by the courts, not interim or provisional orders. AVO data are sourced from the NSW Police Computerised Operational Policing System (COPS).</t>
    </r>
  </si>
  <si>
    <r>
      <rPr>
        <b/>
        <i/>
        <sz val="10"/>
        <rFont val="Arial"/>
        <family val="2"/>
      </rPr>
      <t xml:space="preserve">Bail: </t>
    </r>
    <r>
      <rPr>
        <sz val="10"/>
        <rFont val="Arial"/>
        <family val="2"/>
      </rPr>
      <t>Bail is a written promise, known as a bail undertaking, that an offender will come to a certain court at a particular time and date and abide by any conditions included in the undertaking. Bail may be set by the police or the court. Once an offender is in court for a particular charge, only the court can set bail in relation to that charge. The court can change or remove bail set by the police in relation to that charge.</t>
    </r>
  </si>
  <si>
    <r>
      <rPr>
        <b/>
        <i/>
        <sz val="10"/>
        <rFont val="Arial"/>
        <family val="2"/>
      </rPr>
      <t>Bail status at finalisation:</t>
    </r>
    <r>
      <rPr>
        <i/>
        <sz val="10"/>
        <rFont val="Arial"/>
        <family val="2"/>
      </rPr>
      <t xml:space="preserve"> </t>
    </r>
    <r>
      <rPr>
        <sz val="10"/>
        <rFont val="Arial"/>
        <family val="2"/>
      </rPr>
      <t xml:space="preserve">Refers to the bail status of the defendant at their final court appearance. Those remanded in custody are separated into ‘bail refused’, ‘in custody for a prior offence’ or ‘Warrant executed – Police custody’. Corrective Services NSW and Juvenile Justice NSW custody data have been merged with court data to identify those persons who were ‘bail refused’, ‘in custody for a prior offence’ or ‘Warrant executed – Police custody’. Those not in these groups were ‘on bail’ or ‘bail dispensed with’. </t>
    </r>
  </si>
  <si>
    <t xml:space="preserve">In 2016 the bail category of ‘Warrant executed – Police custody’ was implemented. These are persons in Police custody prior to finalisation after having been arrested on a warrant.  Generally these persons are in police custody for less than 24 hours before their court matter is finalised.  Previously these persons were included in the ‘Bail refused’ category. This change affected Local and Children’s Court data only as any instance of an arrest warrant being executed in the District or Supreme courts is followed by a bail determination prior to the finalising appearance. This change has been made to BOCSAR's criminal court data back to 2010. Prior to 2010, the ‘Bail refused’ data includes both persons refused bail by the court and persons in Police custody prior to finalisation after having been arrested on a warrant. The ‘Bail refused’ data in these tables is not directly comparable with ‘Bail refused’ data released in previous years.
</t>
  </si>
  <si>
    <r>
      <rPr>
        <b/>
        <i/>
        <sz val="10"/>
        <color indexed="8"/>
        <rFont val="Arial"/>
        <family val="2"/>
      </rPr>
      <t>Charges:</t>
    </r>
    <r>
      <rPr>
        <sz val="10"/>
        <color indexed="8"/>
        <rFont val="Arial"/>
        <family val="2"/>
      </rPr>
      <t xml:space="preserve"> A charge refers to an instance of a particular type of offence being charged against a defendant. A finalised charge is one which has been fully determined by the court and for which no further court proceedings are required. </t>
    </r>
  </si>
  <si>
    <r>
      <rPr>
        <b/>
        <i/>
        <sz val="10"/>
        <color indexed="8"/>
        <rFont val="Arial"/>
        <family val="2"/>
      </rPr>
      <t xml:space="preserve">Committal: </t>
    </r>
    <r>
      <rPr>
        <sz val="10"/>
        <color rgb="FF000000"/>
        <rFont val="Arial"/>
        <family val="2"/>
      </rPr>
      <t>Cases normally appear before the Higher Courts following a committal process in the Local or Children's Courts. The committal process involves the prosecution certifying the charge against the accused, and a mandatory case conferencing between prosecution and defence.  If the accused pleads guilty at during the committal process, they may be committed for sentencing to a Higher Court. Alternatively, if the accused pleads not guilty, or reserves their defence, he or she is committed for trial. Cases which commence by ex officio indictment are included. Cases which do not proceed beyond the committal process are not included in the Higher Court statistics.</t>
    </r>
  </si>
  <si>
    <r>
      <rPr>
        <b/>
        <i/>
        <sz val="10"/>
        <color indexed="8"/>
        <rFont val="Arial"/>
        <family val="2"/>
      </rPr>
      <t>Companies:</t>
    </r>
    <r>
      <rPr>
        <sz val="10"/>
        <color indexed="8"/>
        <rFont val="Arial"/>
        <family val="2"/>
      </rPr>
      <t xml:space="preserve"> Where companies have been excluded, it is noted below the data table along with the number of excluded companies for each year.</t>
    </r>
  </si>
  <si>
    <r>
      <rPr>
        <b/>
        <sz val="10"/>
        <rFont val="Arial"/>
        <family val="2"/>
      </rPr>
      <t xml:space="preserve">Court delay: </t>
    </r>
    <r>
      <rPr>
        <sz val="10"/>
        <rFont val="Arial"/>
        <family val="2"/>
      </rPr>
      <t>These tables show the time taken to dispose of a group of charges against a person by defended and undefended hearings by bail status at final appearance. It shows the median number of days taken at each stage of proceedings. For Higher Courts, the number and median delay for arrest to committal, committal to outcome, and outcome to sentence are provided. For the Local and Children's Courts, the number and median delay for arrest to first appearance and first appearance to finalisation (determination) is provided.  Note that medians cannot be added.</t>
    </r>
  </si>
  <si>
    <r>
      <rPr>
        <i/>
        <sz val="10"/>
        <rFont val="Arial"/>
        <family val="2"/>
      </rPr>
      <t>Local and Children's Court</t>
    </r>
    <r>
      <rPr>
        <sz val="10"/>
        <rFont val="Arial"/>
        <family val="2"/>
      </rPr>
      <t>: The stages of proceedings are categories as follows:</t>
    </r>
  </si>
  <si>
    <r>
      <rPr>
        <b/>
        <sz val="10"/>
        <rFont val="Arial"/>
        <family val="2"/>
      </rPr>
      <t>Arrest to first appearance:</t>
    </r>
    <r>
      <rPr>
        <sz val="10"/>
        <rFont val="Arial"/>
        <family val="2"/>
      </rPr>
      <t xml:space="preserve"> the time from the date on which the offender was arrested for the offence to the date of first appearance in court for the defendant for that offence.</t>
    </r>
  </si>
  <si>
    <r>
      <rPr>
        <b/>
        <sz val="10"/>
        <rFont val="Arial"/>
        <family val="2"/>
      </rPr>
      <t>First appearance to determination:</t>
    </r>
    <r>
      <rPr>
        <sz val="10"/>
        <rFont val="Arial"/>
        <family val="2"/>
      </rPr>
      <t xml:space="preserve"> the time from the date of first appearance in court to the latest date on which all charges laid against a defendant within one court appearance are regarded as formally completed by the court. </t>
    </r>
  </si>
  <si>
    <r>
      <rPr>
        <b/>
        <sz val="10"/>
        <rFont val="Arial"/>
        <family val="2"/>
      </rPr>
      <t>Arrest to finalisation</t>
    </r>
    <r>
      <rPr>
        <sz val="10"/>
        <color rgb="FF000000"/>
        <rFont val="Arial"/>
        <family val="2"/>
      </rPr>
      <t>: the time from the date on which the offender was arrested for the offence to the latest date on which all charges laid against a defendant within one court appearance are regarded as formally completed by the court.</t>
    </r>
  </si>
  <si>
    <r>
      <rPr>
        <i/>
        <sz val="10"/>
        <rFont val="Arial"/>
        <family val="2"/>
      </rPr>
      <t>Higher Courts</t>
    </r>
    <r>
      <rPr>
        <sz val="10"/>
        <rFont val="Arial"/>
        <family val="2"/>
      </rPr>
      <t>: The stages of proceedings are categories as follows:</t>
    </r>
  </si>
  <si>
    <r>
      <rPr>
        <b/>
        <sz val="10"/>
        <rFont val="Arial"/>
        <family val="2"/>
      </rPr>
      <t>Arrest to committal</t>
    </r>
    <r>
      <rPr>
        <sz val="10"/>
        <rFont val="Arial"/>
        <family val="2"/>
      </rPr>
      <t>: the time from the date on which the offender was arrested for the offence to the date the matter was committed to the Higher Courts.</t>
    </r>
  </si>
  <si>
    <r>
      <rPr>
        <b/>
        <sz val="10"/>
        <rFont val="Arial"/>
        <family val="2"/>
      </rPr>
      <t>Committal to outcome</t>
    </r>
    <r>
      <rPr>
        <sz val="10"/>
        <rFont val="Arial"/>
        <family val="2"/>
      </rPr>
      <t>: the time from date the matter was committed to latest date of determination of charges. Note that it is not possible to distinguish from the table in this report whether the accused altered his or her plea during the course of proceedings. Such a change of plea would be expected to alter the time taken to dispose of the matter.</t>
    </r>
  </si>
  <si>
    <r>
      <rPr>
        <b/>
        <sz val="10"/>
        <rFont val="Arial"/>
        <family val="2"/>
      </rPr>
      <t>Outcome to sentence</t>
    </r>
    <r>
      <rPr>
        <sz val="10"/>
        <rFont val="Arial"/>
        <family val="2"/>
      </rPr>
      <t xml:space="preserve">: the time from latest date of determination of charges (guilty plea or verdict) to the date of sentence. This category is applicable only to those accused persons who were found guilty. </t>
    </r>
  </si>
  <si>
    <r>
      <rPr>
        <b/>
        <sz val="10"/>
        <rFont val="Arial"/>
        <family val="2"/>
      </rPr>
      <t>Arrest to finalisation</t>
    </r>
    <r>
      <rPr>
        <sz val="10"/>
        <color rgb="FF000000"/>
        <rFont val="Arial"/>
        <family val="2"/>
      </rPr>
      <t>: the time from the date on which the offender was arrested for the offence to the date the matter was finalised in the Higher Court.</t>
    </r>
  </si>
  <si>
    <r>
      <rPr>
        <b/>
        <sz val="10"/>
        <rFont val="Arial"/>
        <family val="2"/>
      </rPr>
      <t>Custodial sentence:</t>
    </r>
    <r>
      <rPr>
        <sz val="10"/>
        <rFont val="Arial"/>
        <family val="2"/>
      </rPr>
      <t xml:space="preserve"> Sentences imposed on a defendant requiring a person to have restricted liberty for a specified period of time either through detainment in an institution/home. This includes the penalties of 'Imprisonment', 'Control order' and 'Periodic detention' (pre-October 2010).</t>
    </r>
  </si>
  <si>
    <r>
      <rPr>
        <b/>
        <sz val="10"/>
        <rFont val="Arial"/>
        <family val="2"/>
      </rPr>
      <t>Charges proven:</t>
    </r>
    <r>
      <rPr>
        <sz val="10"/>
        <rFont val="Arial"/>
        <family val="2"/>
      </rPr>
      <t xml:space="preserve"> An outcome of criminal proceedings in which a court accepts that a charge is proven through a guilty plea entered by a defendant, found guilty by the court or the Higher Court finds the act proven but the defendant not criminally responsible due to mental health or cognitive impairment. Proven charges also include proven outcomes where no conviction is recorded.</t>
    </r>
  </si>
  <si>
    <r>
      <rPr>
        <b/>
        <i/>
        <sz val="10"/>
        <color indexed="8"/>
        <rFont val="Arial"/>
        <family val="2"/>
      </rPr>
      <t>Charges unproven:</t>
    </r>
    <r>
      <rPr>
        <i/>
        <sz val="10"/>
        <color rgb="FF000000"/>
        <rFont val="Arial"/>
        <family val="2"/>
      </rPr>
      <t xml:space="preserve"> </t>
    </r>
    <r>
      <rPr>
        <sz val="10"/>
        <color rgb="FF000000"/>
        <rFont val="Arial"/>
        <family val="2"/>
      </rPr>
      <t>A determination by the court that a defendant is not guilty of the charge (or charges) on the grounds that the charge has not been proven. This includes dismissal of charge(s) by the Children's or Local Court: (a) on the grounds that the defendant is found not guilty, (b) due to the defendant's mental health or cognitive impairment; or being found mentally ill or disordered at the time of the offence.</t>
    </r>
  </si>
  <si>
    <r>
      <rPr>
        <b/>
        <i/>
        <sz val="10"/>
        <rFont val="Arial"/>
        <family val="2"/>
      </rPr>
      <t>Defendants with a finalised charge:</t>
    </r>
    <r>
      <rPr>
        <sz val="10"/>
        <rFont val="Arial"/>
        <family val="2"/>
      </rPr>
      <t xml:space="preserve"> A defendant against whom one or more criminal charges have been laid and which are heard together as one court appearance. Data in JusticeLink are case-based, with each case containing one or more charges against a single individual. When different charges within the same case are finalised on either the same or different dates in the same jurisdiction these are counted by BOCSAR as one finalised court appearance and therefore reported as one person. An individual may also be involved in multiple JusticeLink cases. “Individuals” are not identified in JusticeLink; they are identified by BOCSAR using Central Names Index (a Police-assigned identifier) and name matching algorithms. Only when multiple cases for an individual are finalised on the same date in the same jurisdiction are they counted by BOCSAR as one finalised court appearance and so reported as one person.</t>
    </r>
  </si>
  <si>
    <r>
      <rPr>
        <b/>
        <i/>
        <sz val="10"/>
        <color indexed="8"/>
        <rFont val="Arial"/>
        <family val="2"/>
      </rPr>
      <t>Defendants with a proven charge:</t>
    </r>
    <r>
      <rPr>
        <i/>
        <sz val="10"/>
        <color rgb="FF000000"/>
        <rFont val="Arial"/>
        <family val="2"/>
      </rPr>
      <t xml:space="preserve"> </t>
    </r>
    <r>
      <rPr>
        <sz val="10"/>
        <color rgb="FF000000"/>
        <rFont val="Arial"/>
        <family val="2"/>
      </rPr>
      <t>Those who, for at least one offence charged, either pleaded guilty, were proven ex parte, were found guilty after a defended hearing/trial or were found by the Higher Court to have a committed the act constituting the offence but were not criminally responsible due to mental health or cognitive impairment. Defendants with proven charges includes those with proven outcomes where no conviction is recorded.</t>
    </r>
  </si>
  <si>
    <r>
      <rPr>
        <b/>
        <i/>
        <sz val="10"/>
        <color indexed="8"/>
        <rFont val="Arial"/>
        <family val="2"/>
      </rPr>
      <t xml:space="preserve">Domestic violence offences: </t>
    </r>
    <r>
      <rPr>
        <sz val="10"/>
        <color indexed="8"/>
        <rFont val="Arial"/>
        <family val="2"/>
      </rPr>
      <t>are defined in the Crimes (Domestic and Personal Violence) Act 2007 and identified in three ways:
1. Prosecution use of a domestic-violence specific lawpart code – available for offences specified in the act, committed on or after 10 March 2008
2. The court ordering that an offence be recorded as a domestic violence offence - which from December 2016 may include offences other than ‘personal violence offences’
3. Murder/manslaughter offences committed on or after 10 March 2008 where a DV-specific lawpart has not been used by the prosecution but either (1) the criminal incident was flagged as DV-related by Police or (2) the ex officio indictment or judgement indicates that there was a domestic relationship between the accused and the victim.</t>
    </r>
  </si>
  <si>
    <r>
      <rPr>
        <b/>
        <i/>
        <sz val="10"/>
        <rFont val="Arial"/>
        <family val="2"/>
      </rPr>
      <t>Jurisdiction:</t>
    </r>
    <r>
      <rPr>
        <sz val="10"/>
        <rFont val="Arial"/>
        <family val="2"/>
      </rPr>
      <t xml:space="preserve"> This indicates the level of the court in which a defendant's case is heard. Court levels can be distinguished from one another on the basis of the extent of their legal powers. The court levels used to output data in this publication are Higher Court (District and Supreme Court), Local Court and Children's Court.</t>
    </r>
  </si>
  <si>
    <r>
      <rPr>
        <b/>
        <i/>
        <sz val="10"/>
        <rFont val="Arial"/>
        <family val="2"/>
      </rPr>
      <t>Non-custodial sentence:</t>
    </r>
    <r>
      <rPr>
        <b/>
        <sz val="10"/>
        <rFont val="Arial"/>
        <family val="2"/>
      </rPr>
      <t xml:space="preserve"> </t>
    </r>
    <r>
      <rPr>
        <sz val="10"/>
        <rFont val="Arial"/>
        <family val="2"/>
      </rPr>
      <t>Sentences imposed on a defendant that do not involve being held in custody. This category includes: suspended sentences, intensive corrections orders, community supervision or work orders, fines, and other non-custodial orders.</t>
    </r>
  </si>
  <si>
    <r>
      <rPr>
        <b/>
        <sz val="10"/>
        <rFont val="Arial"/>
        <family val="2"/>
      </rPr>
      <t>Offence type:</t>
    </r>
    <r>
      <rPr>
        <sz val="10"/>
        <rFont val="Arial"/>
        <family val="2"/>
      </rPr>
      <t xml:space="preserve"> This publication uses BOCSAR Standard Offence Classification (BSOC) 2023 to group offences. BSOC 2023 is a modified version of the </t>
    </r>
    <r>
      <rPr>
        <u/>
        <sz val="10"/>
        <rFont val="Arial"/>
        <family val="2"/>
      </rPr>
      <t>Australian Bureau of Statistics Australian and New Zealand Standard Offence Classification (ANZSOC) 2023</t>
    </r>
    <r>
      <rPr>
        <sz val="10"/>
        <rFont val="Arial"/>
        <family val="2"/>
      </rPr>
      <t>, adapted to better suit the criminal offence legislations in NSW. The tables in this report show offences classified at BSOC 2023 division, subdivision and group levels. While ‘Domestic violence related assault’ is a separate category in BSOC 2023, other domestic violence related offences are not and so are also counted in the appropriate BSOC 2023 categories.</t>
    </r>
  </si>
  <si>
    <r>
      <rPr>
        <b/>
        <i/>
        <sz val="10"/>
        <rFont val="Arial"/>
        <family val="2"/>
      </rPr>
      <t>Outcome of court appearance:</t>
    </r>
    <r>
      <rPr>
        <b/>
        <sz val="10"/>
        <rFont val="Arial"/>
        <family val="2"/>
      </rPr>
      <t xml:space="preserve"> </t>
    </r>
    <r>
      <rPr>
        <sz val="10"/>
        <rFont val="Arial"/>
        <family val="2"/>
      </rPr>
      <t xml:space="preserve">The way in which a defendant is completed as an item of business in a particular court level. A defendant is considered finalised when all charges against that defendant have been processed to completion within a court level. These are the possible outcomes - </t>
    </r>
  </si>
  <si>
    <r>
      <rPr>
        <b/>
        <sz val="10"/>
        <rFont val="Arial"/>
        <family val="2"/>
      </rPr>
      <t>Proceeded to defended hearing/trial</t>
    </r>
    <r>
      <rPr>
        <sz val="10"/>
        <rFont val="Arial"/>
        <family val="2"/>
      </rPr>
      <t>: Include where a ‘not guilty plea’ is entered or ‘no plea’ is recorded and the defendant/accused was present when the matter was finalised.</t>
    </r>
  </si>
  <si>
    <r>
      <rPr>
        <b/>
        <i/>
        <sz val="10"/>
        <rFont val="Arial"/>
        <family val="2"/>
      </rPr>
      <t>Not guilty of all charge</t>
    </r>
    <r>
      <rPr>
        <sz val="10"/>
        <rFont val="Arial"/>
        <family val="2"/>
      </rPr>
      <t>s: Appearances in this category involved the defendant being found not guilty of any offence following a defended hearing. Such appearances may have included some charges being dismissed without hearing.</t>
    </r>
  </si>
  <si>
    <r>
      <rPr>
        <b/>
        <i/>
        <sz val="10"/>
        <rFont val="Arial"/>
        <family val="2"/>
      </rPr>
      <t>Act(s) proven but not criminally responsible, mental health or cognitive impairment:</t>
    </r>
    <r>
      <rPr>
        <sz val="10"/>
        <rFont val="Arial"/>
        <family val="2"/>
      </rPr>
      <t xml:space="preserve"> Under section 28 of the Mental Health and Cognitive Impairment Forensic Provisions Act 2020 (NSW), the Higher Court can find an act proven but the defendant not criminally responsible on the ground of mental health or cognitive impairment.</t>
    </r>
  </si>
  <si>
    <r>
      <rPr>
        <b/>
        <i/>
        <sz val="10"/>
        <rFont val="Arial"/>
        <family val="2"/>
      </rPr>
      <t>Guilty of at least one charge</t>
    </r>
    <r>
      <rPr>
        <sz val="10"/>
        <rFont val="Arial"/>
        <family val="2"/>
      </rPr>
      <t>: The defendant pleaded not guilty, but was found guilty by the court of at least one of the offences charged.</t>
    </r>
  </si>
  <si>
    <r>
      <rPr>
        <b/>
        <i/>
        <sz val="10"/>
        <rFont val="Arial"/>
        <family val="2"/>
      </rPr>
      <t>Found not guilty but pleaded guilty to other charge/s</t>
    </r>
    <r>
      <rPr>
        <b/>
        <sz val="10"/>
        <rFont val="Arial"/>
        <family val="2"/>
      </rPr>
      <t>:</t>
    </r>
    <r>
      <rPr>
        <sz val="10"/>
        <rFont val="Arial"/>
        <family val="2"/>
      </rPr>
      <t xml:space="preserve"> Appearances in this category include persons for whom one or more charges were dismissed after a defended hearing, but who either (i) pleaded guilty to other charges or (ii) were proven ex parte of other charges.</t>
    </r>
  </si>
  <si>
    <r>
      <rPr>
        <b/>
        <sz val="10"/>
        <rFont val="Arial"/>
        <family val="2"/>
      </rPr>
      <t>Proceeded to sentence only</t>
    </r>
    <r>
      <rPr>
        <sz val="10"/>
        <rFont val="Arial"/>
        <family val="2"/>
      </rPr>
      <t>:  Includes where the defendant pleaded guilty to at least one charge, and any other charges were dismissed or otherwise disposed of.</t>
    </r>
  </si>
  <si>
    <r>
      <rPr>
        <b/>
        <i/>
        <sz val="10"/>
        <rFont val="Arial"/>
        <family val="2"/>
      </rPr>
      <t>Sentenced by the lower courts after a guilty plea</t>
    </r>
    <r>
      <rPr>
        <sz val="10"/>
        <rFont val="Arial"/>
        <family val="2"/>
      </rPr>
      <t>: Persons present when finalised by the lower courts after entering a plea of guilty.</t>
    </r>
  </si>
  <si>
    <r>
      <rPr>
        <b/>
        <i/>
        <sz val="10"/>
        <rFont val="Arial"/>
        <family val="2"/>
      </rPr>
      <t>Sentenced after a guilty plea following trial committal (HC)</t>
    </r>
    <r>
      <rPr>
        <sz val="10"/>
        <rFont val="Arial"/>
        <family val="2"/>
      </rPr>
      <t>: Persons committed for trial who entered a guilty plea after committal, either before or during the trial. Persons who entered a guilty plea and were also found guilty/ acquitted of other charges at trial are excluded.</t>
    </r>
  </si>
  <si>
    <r>
      <rPr>
        <b/>
        <i/>
        <sz val="10"/>
        <rFont val="Arial"/>
        <family val="2"/>
      </rPr>
      <t>Sentenced after a guilty plea following sentence committal (HC)</t>
    </r>
    <r>
      <rPr>
        <sz val="10"/>
        <rFont val="Arial"/>
        <family val="2"/>
      </rPr>
      <t>: Persons committed to the higher court for sentence after entering a guilty plea in the lower court.</t>
    </r>
  </si>
  <si>
    <r>
      <rPr>
        <b/>
        <sz val="10"/>
        <rFont val="Arial"/>
        <family val="2"/>
      </rPr>
      <t>Proven offence - not further described</t>
    </r>
    <r>
      <rPr>
        <sz val="10"/>
        <rFont val="Arial"/>
        <family val="2"/>
      </rPr>
      <t>: Include persons who received a sentence but there was insufficient data to indicate whether they had proceeded to a defended hearing and a guilty finding was handed down or whether they were sentenced after entering a guilty plea.</t>
    </r>
  </si>
  <si>
    <r>
      <rPr>
        <b/>
        <sz val="10"/>
        <rFont val="Arial"/>
        <family val="2"/>
      </rPr>
      <t xml:space="preserve">Proven ex parte: </t>
    </r>
    <r>
      <rPr>
        <sz val="10"/>
        <rFont val="Arial"/>
        <family val="2"/>
      </rPr>
      <t>Includes charges where the defendant either: (i) lodged a written guilty plea and was proven guilty and sentenced in his/her absence, or (ii) failed to appear, was convicted and sentenced by the court on the evidence presented. This outcome label was changed from ‘convicted ex-parte’ in the New South Wales Criminal Court Statistics July 2018 – June 2023 report.</t>
    </r>
  </si>
  <si>
    <r>
      <rPr>
        <b/>
        <sz val="10"/>
        <rFont val="Arial"/>
        <family val="2"/>
      </rPr>
      <t>Dismissed by lower court - mental health or cognitive impairment; mentally ill or disordered:</t>
    </r>
    <r>
      <rPr>
        <sz val="10"/>
        <rFont val="Arial"/>
        <family val="2"/>
      </rPr>
      <t xml:space="preserve"> Includes charges dismissed under Section 14 and section 19 of  the Mental Health and Cognitive Impairment Forensic Provisions Act 2020 (NSW) (previously section 32 and 33 of the Mental Health (Forensic Procedure) Act 1990).  Section 14 allows  a defendant who has a mental health impairment or cognitive impairment to be dismissed and discharged conditionally or unconditionally.  Section 19 allows for a magistrate to order a  defendant who is mentally ill or mentally disordered (which is generally more serious than a mental health impairment or cognitive impairment) to be detained in a hospital for an assessment, or discharge the defendant, either unconditionally or conditionally, into the care of a responsible person. This outcome only applies to the Local and Children's Court.</t>
    </r>
  </si>
  <si>
    <r>
      <rPr>
        <b/>
        <sz val="10"/>
        <rFont val="Arial"/>
        <family val="2"/>
      </rPr>
      <t>All charges withdrawn by prosecution</t>
    </r>
    <r>
      <rPr>
        <sz val="10"/>
        <rFont val="Arial"/>
        <family val="2"/>
      </rPr>
      <t>: This category includes finalisations where all charges were dismissed by the court, but there was not a defended hearing or trial. For instance, the prosecution may have not offered any evidence in respect to the charges, the Director of Public Prosecution may have elected to not proceeded to trial or the defendant died prior to finalisation.</t>
    </r>
  </si>
  <si>
    <r>
      <rPr>
        <b/>
        <sz val="10"/>
        <rFont val="Arial"/>
        <family val="2"/>
      </rPr>
      <t xml:space="preserve">Otherwise disposed of (eg transferred to Drug Court, deceased): </t>
    </r>
    <r>
      <rPr>
        <sz val="10"/>
        <rFont val="Arial"/>
        <family val="2"/>
      </rPr>
      <t>Includes persons transferred to the Drug Court or referred to the Mental Health Review Tribunal from the Higher Court.</t>
    </r>
  </si>
  <si>
    <r>
      <t>Penalties:</t>
    </r>
    <r>
      <rPr>
        <sz val="10"/>
        <rFont val="Arial"/>
        <family val="2"/>
      </rPr>
      <t xml:space="preserve"> </t>
    </r>
  </si>
  <si>
    <r>
      <t>The</t>
    </r>
    <r>
      <rPr>
        <i/>
        <sz val="10"/>
        <rFont val="Arial"/>
        <family val="2"/>
      </rPr>
      <t xml:space="preserve"> Crimes (Sentencing Procedure) Act 1999, Children (Criminal Proceedings) Act 1987, Young Offenders Act 1997</t>
    </r>
    <r>
      <rPr>
        <sz val="10"/>
        <rFont val="Arial"/>
        <family val="2"/>
      </rPr>
      <t xml:space="preserve"> and </t>
    </r>
    <r>
      <rPr>
        <i/>
        <sz val="10"/>
        <rFont val="Arial"/>
        <family val="2"/>
      </rPr>
      <t xml:space="preserve">Commonwealth Crimes Act 1914 </t>
    </r>
    <r>
      <rPr>
        <sz val="10"/>
        <rFont val="Arial"/>
        <family val="2"/>
      </rPr>
      <t>cover the penalties which may be imposed in NSW criminal courts.</t>
    </r>
  </si>
  <si>
    <t>On 24 September 2018, sentence reforms were implemented in NSW. Under the reforms:
  * Intensive Correction Orders were reformed and expanded
  * Suspended sentences and Home Detention penalties were abolished
  * Community Correction Orders replaced Community Service Orders and Good behaviour bonds
  * Conditional Release Orders replaced non-conviction bonds
Consequently the penalty data in these tables cannot be compared with that in previous reports.
Detailed penalty data is presented for the most recent year in Tables 5a, 10a, 14a and 15a. Broader penalty groupings are presented for the most recent five years in Tables 5, 10, 14 and 15.</t>
  </si>
  <si>
    <r>
      <t xml:space="preserve">Penalties are grouped into five types.
</t>
    </r>
    <r>
      <rPr>
        <b/>
        <sz val="10"/>
        <rFont val="Arial"/>
        <family val="2"/>
      </rPr>
      <t>Custody:</t>
    </r>
    <r>
      <rPr>
        <sz val="10"/>
        <rFont val="Arial"/>
        <family val="2"/>
      </rPr>
      <t xml:space="preserve"> Imprisonment; Juvenile control order 
</t>
    </r>
    <r>
      <rPr>
        <b/>
        <sz val="10"/>
        <rFont val="Arial"/>
        <family val="2"/>
      </rPr>
      <t xml:space="preserve">Supervised Community Sentence:
* </t>
    </r>
    <r>
      <rPr>
        <u/>
        <sz val="10"/>
        <rFont val="Arial"/>
        <family val="2"/>
      </rPr>
      <t>current penalties</t>
    </r>
    <r>
      <rPr>
        <sz val="10"/>
        <rFont val="Arial"/>
        <family val="2"/>
      </rPr>
      <t xml:space="preserve"> - Intensive Correction Order; Community Correction Order with supervision; Children's Community Service Order; Juvenile probation order with supervision; Conditional Release Order with conviction, with supervision; Conditional Release Order without conviction, with supervision
* </t>
    </r>
    <r>
      <rPr>
        <u/>
        <sz val="10"/>
        <rFont val="Arial"/>
        <family val="2"/>
      </rPr>
      <t>pre-reform penalties</t>
    </r>
    <r>
      <rPr>
        <sz val="10"/>
        <rFont val="Arial"/>
        <family val="2"/>
      </rPr>
      <t xml:space="preserve"> - Home detention (pre-24 Sept 2018); Suspended Sentence with supervision (pre-24 Sept 2018); Adult Community Service Order (pre-24 Sept 2018);  Bond with supervision (pre-24 Sept 2018); Bond without conviction with supervision (pre-24 Sept 2018) and Periodic detention (pre-Oct 2010)
</t>
    </r>
    <r>
      <rPr>
        <b/>
        <sz val="10"/>
        <rFont val="Arial"/>
        <family val="2"/>
      </rPr>
      <t>Unsupervised Community Sentence:</t>
    </r>
    <r>
      <rPr>
        <sz val="10"/>
        <rFont val="Arial"/>
        <family val="2"/>
      </rPr>
      <t xml:space="preserve">
* </t>
    </r>
    <r>
      <rPr>
        <u/>
        <sz val="10"/>
        <rFont val="Arial"/>
        <family val="2"/>
      </rPr>
      <t>current penalties</t>
    </r>
    <r>
      <rPr>
        <sz val="10"/>
        <rFont val="Arial"/>
        <family val="2"/>
      </rPr>
      <t xml:space="preserve"> - Community Correction Order without supervision;  Juvenile probation order without supervision; Conditional Release Order with conviction, without supervision; Conditional Release Order without conviction, without supervision;
* </t>
    </r>
    <r>
      <rPr>
        <u/>
        <sz val="10"/>
        <rFont val="Arial"/>
        <family val="2"/>
      </rPr>
      <t>pre-reform penalties</t>
    </r>
    <r>
      <rPr>
        <sz val="10"/>
        <rFont val="Arial"/>
        <family val="2"/>
      </rPr>
      <t xml:space="preserve"> - Suspended Sentence without supervision (pre-24 Sept 2018);  pre-reform Bond without supervision (pre-24 Sept 2018); Bond without conviction without supervision  (pre-24 Sept 2018)
</t>
    </r>
    <r>
      <rPr>
        <b/>
        <sz val="10"/>
        <rFont val="Arial"/>
        <family val="2"/>
      </rPr>
      <t>Fine</t>
    </r>
    <r>
      <rPr>
        <sz val="10"/>
        <rFont val="Arial"/>
        <family val="2"/>
      </rPr>
      <t xml:space="preserve">
</t>
    </r>
    <r>
      <rPr>
        <b/>
        <sz val="10"/>
        <rFont val="Arial"/>
        <family val="2"/>
      </rPr>
      <t>Other</t>
    </r>
    <r>
      <rPr>
        <sz val="10"/>
        <rFont val="Arial"/>
        <family val="2"/>
      </rPr>
      <t xml:space="preserve"> - Conviction only; No conviction recorded; No action taken on a breach of bond; Juvenile dismissal (Dismissed after Youth Justice Conference, Dismissed with caution, Children (Criminal Proceedings) Act, Dismissed, Children (Criminal Proceedings) Act, Caution under Young Offenders Act) </t>
    </r>
  </si>
  <si>
    <t xml:space="preserve">Prior to the December 2021 update of Tables 5, 10 and 14, these penalty types were used:
Imprisonment
Juvenile control order
Custodial alternatives
Non-custodial community based orders
Fines
Conviction only
Conditional release without conviction
No conviction recorded
Other
Consequently tables from December 2021 onwards presenting type of principal penalty data cannot be directly compared with earlier versions.
Tables 5a, 10a and 14a which present data on type of detailed principal penalty disaggregate juvenile dismissals from December 2021 but are otherwise unchanged. </t>
  </si>
  <si>
    <r>
      <rPr>
        <b/>
        <sz val="10"/>
        <color indexed="8"/>
        <rFont val="Arial"/>
        <family val="2"/>
      </rPr>
      <t xml:space="preserve">Imprisonment: </t>
    </r>
    <r>
      <rPr>
        <sz val="10"/>
        <color indexed="8"/>
        <rFont val="Arial"/>
        <family val="2"/>
      </rPr>
      <t>When sentencing an offender to imprisonment, the court sets a total term and may set a non-parole period. The non-parole period must not be less than three quarters of the total term unless there are special circumstances which the court must note. The court may decline to set a non-parole period, noting the reasons. For imprisonment sentences of six months or less, the court may not set a non-parole period. The mean durations shown in Table 1 include only the non-parole period where a non-parole period has been specified and the total term where no non-parole period has been set. Cumulative terms of imprisonment are excluded from these tables. Where a cumulative term was imposed, only the non-parole period duration for the principal offence is shown. Note that a maximum of two years imprisonment can be imposed in the Local Courts for any one offence but the Local Court may impose a cumulative term of up to five years.</t>
    </r>
  </si>
  <si>
    <r>
      <rPr>
        <b/>
        <sz val="10"/>
        <rFont val="Arial"/>
        <family val="2"/>
      </rPr>
      <t xml:space="preserve">Aggregate Sentences of Imprisonment: </t>
    </r>
    <r>
      <rPr>
        <sz val="10"/>
        <rFont val="Arial"/>
        <family val="2"/>
      </rPr>
      <t>From 14 March 2011, section 53A of the Crimes (Sentencing Procedure) Act 1999 has allowed the court to set an aggregate sentence of imprisonment in respect to two or more offences. The court must note the sentence that would have been imposed for each offence had separate sentences been imposed. This is referred to as the indicative sentence and should include a non-parole period for any standard non-parole period offences. The court may impose an aggregate sentence for some offences and separate imprisonment sentences for other offences. Where an aggregate sentence of imprisonment is imposed, the indicative sentences are used to determine the principal offence. Only the non-parole period duration for the principal offence is shown. When no indicative non-parole period has been specified, the ratio of the aggregate non-parole period to the aggregate total term is applied to the indicative total term (only when more than six months duration) to arrive at a non-parole period.</t>
    </r>
  </si>
  <si>
    <r>
      <rPr>
        <b/>
        <sz val="10"/>
        <color indexed="8"/>
        <rFont val="Arial"/>
        <family val="2"/>
      </rPr>
      <t xml:space="preserve">Juvenile control order: </t>
    </r>
    <r>
      <rPr>
        <sz val="10"/>
        <color indexed="8"/>
        <rFont val="Arial"/>
        <family val="2"/>
      </rPr>
      <t>A control order is a custodial sentence served in a juvenile detention centre. Like an adult sentence of imprisonment. The court can place a juvenile on a control order to be served in detention for up to two years on any one offence and up to a maximum of three years.</t>
    </r>
  </si>
  <si>
    <r>
      <rPr>
        <b/>
        <sz val="10"/>
        <color indexed="8"/>
        <rFont val="Arial"/>
        <family val="2"/>
      </rPr>
      <t xml:space="preserve">Intensive correction order (ICO): </t>
    </r>
    <r>
      <rPr>
        <sz val="10"/>
        <color indexed="8"/>
        <rFont val="Arial"/>
        <family val="2"/>
      </rPr>
      <t xml:space="preserve">ICOs are served in the community for a period of up to two years. ICOs were reformed and expanded on 24 September 2018, replacing home detention and suspended sentences. An ICO is the most serious sentence that an offender can serve in the community. Supervision is mandatory and the court must impose at least one of the following conditions: home detention, community service work (up to 750 hours), GPS electronic monitoring, curfew, program treatment, alcohol/drug abstention, non-association or place restriction.
   </t>
    </r>
  </si>
  <si>
    <r>
      <rPr>
        <b/>
        <sz val="10"/>
        <rFont val="Arial"/>
        <family val="2"/>
      </rPr>
      <t>Community Correction Order (CCO) with/without supervision:</t>
    </r>
    <r>
      <rPr>
        <sz val="10"/>
        <rFont val="Arial"/>
        <family val="2"/>
      </rPr>
      <t xml:space="preserve"> On 24 September 2018, CCOs replaced Community Service Orders and good behaviour bonds. Courts can use CCOs to punish offenders for crimes that do not warrant imprisonment or an ICO, but are too serious to be dealt with by a fine or lower level penalty. CCOs are served in the community for up to three years and the court may impose one or more of the following conditions: supervision, community service work (up to 500 hours), curfew (&lt;12 hours daily), program treatment, alcohol/drug abstention, non-association or place restriction.</t>
    </r>
  </si>
  <si>
    <r>
      <rPr>
        <b/>
        <sz val="10"/>
        <rFont val="Arial"/>
        <family val="2"/>
      </rPr>
      <t>Pre-reform or Children's Community Service Order (CSO):</t>
    </r>
    <r>
      <rPr>
        <sz val="10"/>
        <rFont val="Arial"/>
        <family val="2"/>
      </rPr>
      <t xml:space="preserve"> Offenders are ordered to perform a specified number of hours of unpaid community service work. For juveniles the Children (Community Service Orders) Act 1987 allows for a maximum of 100 hours community service for an offence committed by a person under 16 years of age and a maximum of 250 hours for an offence committed by a person aged 16 years or older. Prior to 24 September 2018, an adult could be sentenced to a stand-alone CSO with a maximum of 500 hours of community service on any one occasion. From 24 September 2018, the new Community Corrections Order (CCO) and reformed Intensive Correction Order (ICO) may be imposed with a community service work condition. </t>
    </r>
  </si>
  <si>
    <r>
      <rPr>
        <b/>
        <sz val="10"/>
        <rFont val="Arial"/>
        <family val="2"/>
      </rPr>
      <t xml:space="preserve">Juvenile probation order: </t>
    </r>
    <r>
      <rPr>
        <sz val="10"/>
        <rFont val="Arial"/>
        <family val="2"/>
      </rPr>
      <t>The Children’s Court can impose an order for probation on a juvenile offender (a person under the age of 18 years) under the Children (Criminal Proceedings) Act 1987 (NSW) s33(1)(e), which allows a court to make an order releasing the juvenile on probation, on such conditions as the Court may determine, for up to two years.</t>
    </r>
  </si>
  <si>
    <r>
      <rPr>
        <b/>
        <sz val="10"/>
        <rFont val="Arial"/>
        <family val="2"/>
      </rPr>
      <t>Bond (with/without supervision)</t>
    </r>
    <r>
      <rPr>
        <sz val="10"/>
        <rFont val="Arial"/>
        <family val="2"/>
      </rPr>
      <t>: There are several different types of bonds which may be imposed. Generally they require the offender to be ‘of good behaviour’ for a certain length of time. Conditions may also be included, for example, reporting regularly to Community Corrections, attending alcohol counselling, residing in certain areas. From 24 September 2018, NSW bonds for adults were replaced by Community Correction Orders (CCO) and Conditional Release Orders (CRO) with conviction. Children's Court bonds and Commonwealth Crimes Act bonds continue to be reported in this category.</t>
    </r>
  </si>
  <si>
    <r>
      <rPr>
        <b/>
        <sz val="10"/>
        <rFont val="Arial"/>
        <family val="2"/>
      </rPr>
      <t>Conditional Release Order (CRO) with/without conviction:</t>
    </r>
    <r>
      <rPr>
        <sz val="10"/>
        <rFont val="Arial"/>
        <family val="2"/>
      </rPr>
      <t xml:space="preserve"> CROs are served in the community for up to two years. Courts can use CROs to deal with first time and less serious offences where the offender is unlikely to present a risk to the community. Courts may impose one or more of the following conditions: supervision, program treatment, alcohol/drug abstention, non-association or place restriction. CROs without conviction replaced S10 non-conviction bonds on 24 September 2018 and CROs with conviction, along with CCOs, replaced S9 good behaviour bonds.</t>
    </r>
  </si>
  <si>
    <r>
      <rPr>
        <b/>
        <sz val="10"/>
        <rFont val="Arial"/>
        <family val="2"/>
      </rPr>
      <t>Fine:</t>
    </r>
    <r>
      <rPr>
        <sz val="10"/>
        <rFont val="Arial"/>
        <family val="2"/>
      </rPr>
      <t xml:space="preserve"> A monetary penalty where the offender is required to pay a sum of money to the Crown.</t>
    </r>
  </si>
  <si>
    <r>
      <rPr>
        <b/>
        <sz val="10"/>
        <rFont val="Arial"/>
        <family val="2"/>
      </rPr>
      <t>Conviction only:</t>
    </r>
    <r>
      <rPr>
        <sz val="10"/>
        <rFont val="Arial"/>
        <family val="2"/>
      </rPr>
      <t xml:space="preserve"> Includes the following penalty types:
</t>
    </r>
  </si>
  <si>
    <r>
      <rPr>
        <b/>
        <sz val="10"/>
        <rFont val="Arial"/>
        <family val="2"/>
      </rPr>
      <t>Rising of the Court:</t>
    </r>
    <r>
      <rPr>
        <sz val="10"/>
        <rFont val="Arial"/>
        <family val="2"/>
      </rPr>
      <t xml:space="preserve"> This is a nominal penalty where the offender is held in custody until the court adjourns (also referred to as 'Nominal sentence').</t>
    </r>
  </si>
  <si>
    <r>
      <rPr>
        <b/>
        <sz val="10"/>
        <rFont val="Arial"/>
        <family val="2"/>
      </rPr>
      <t>Conviction without penalty:</t>
    </r>
    <r>
      <rPr>
        <sz val="10"/>
        <rFont val="Arial"/>
        <family val="2"/>
      </rPr>
      <t xml:space="preserve"> Under Section 10A of the Crimes (Sentencing Procedure) Act 1999, the court may, where it finds a charge proved, record a conviction and dispose of the proceedings without imposing any other penalty.</t>
    </r>
  </si>
  <si>
    <r>
      <rPr>
        <b/>
        <sz val="10"/>
        <rFont val="Arial"/>
        <family val="2"/>
      </rPr>
      <t xml:space="preserve">Bond without conviction (with/without supervision): </t>
    </r>
    <r>
      <rPr>
        <sz val="10"/>
        <rFont val="Arial"/>
        <family val="2"/>
      </rPr>
      <t>The court may discharge a person after a finding of guilt on condition that they enter a good behaviour bond for a term not exceeding two years (or three years for Commonwealth bonds). On 24 September 2018, the new Conditional Release Order (CRO) replaced good behaviour bonds under Section 10(1)(b) of the Crimes (Sentencing Procedure) Act 1999. Children's bonds without conviction and Commonwealth recognizance without conviction continue to be reported in this category.</t>
    </r>
  </si>
  <si>
    <r>
      <rPr>
        <b/>
        <sz val="10"/>
        <rFont val="Arial"/>
        <family val="2"/>
      </rPr>
      <t>No conviction recorded:</t>
    </r>
    <r>
      <rPr>
        <sz val="10"/>
        <rFont val="Arial"/>
        <family val="2"/>
      </rPr>
      <t xml:space="preserve"> Section 10(1)(a) of the Crimes (Sentencing Procedure) Act 1999 permits a court to find a charge proved but discharge the offender with no penalty.</t>
    </r>
  </si>
  <si>
    <r>
      <rPr>
        <b/>
        <sz val="10"/>
        <rFont val="Arial"/>
        <family val="2"/>
      </rPr>
      <t xml:space="preserve">Other penalties: </t>
    </r>
    <r>
      <rPr>
        <sz val="10"/>
        <rFont val="Arial"/>
        <family val="2"/>
      </rPr>
      <t>Includes No action taken on a breach of bond and Juvenile dismissal (Dismissed after Youth Justice Conference, Dismissed with caution, Children (Criminal Proceedings) Act, Dismissed, Children (Criminal Proceedings) Act, Caution under Young Offenders Act).</t>
    </r>
  </si>
  <si>
    <t>Penalties repealed by the 24 September 2018 sentence reforms:</t>
  </si>
  <si>
    <r>
      <rPr>
        <b/>
        <sz val="10"/>
        <rFont val="Arial"/>
        <family val="2"/>
      </rPr>
      <t xml:space="preserve">Suspended sentence: </t>
    </r>
    <r>
      <rPr>
        <sz val="10"/>
        <rFont val="Arial"/>
        <family val="2"/>
      </rPr>
      <t>Under the now repealed Section 12 of the</t>
    </r>
    <r>
      <rPr>
        <i/>
        <sz val="10"/>
        <rFont val="Arial"/>
        <family val="2"/>
      </rPr>
      <t xml:space="preserve"> Crimes (Sentencing Procedure) Act 1999</t>
    </r>
    <r>
      <rPr>
        <sz val="10"/>
        <rFont val="Arial"/>
        <family val="2"/>
      </rPr>
      <t>, a court was able to impose a sentence of imprisonment of up to two years duration and then suspend the sentence on the condition that the offender entered into a good behaviour bond. A suspended sentence could be imposed with or without supervision. On 24 September 2018, suspended sentences were one of the sentencing options replaced by a reformed Intensive Correction Order with mandatory supervision. Suspended sentences continue to be available as sentencing options under Commonwealth legislation and under the NSW Children (Criminal Proceedings) Act.</t>
    </r>
  </si>
  <si>
    <r>
      <rPr>
        <b/>
        <sz val="10"/>
        <rFont val="Arial"/>
        <family val="2"/>
      </rPr>
      <t>Home detention:</t>
    </r>
    <r>
      <rPr>
        <sz val="10"/>
        <rFont val="Arial"/>
        <family val="2"/>
      </rPr>
      <t xml:space="preserve"> Under the now repealed Section 6 of the </t>
    </r>
    <r>
      <rPr>
        <i/>
        <sz val="10"/>
        <rFont val="Arial"/>
        <family val="2"/>
      </rPr>
      <t>Crimes (Sentencing Procedure) Act 1999,</t>
    </r>
    <r>
      <rPr>
        <sz val="10"/>
        <rFont val="Arial"/>
        <family val="2"/>
      </rPr>
      <t xml:space="preserve"> home detention orders were an alternative means of serving sentences of full-time imprisonment of up to 18 months. The conditions of the order constrained the offender‘s liberty to an extent that approximated confinement in minimum security custody with access to day release programs. On 24 September 2018, home detention orders were abolished, replaced by Intensive Correction Orders which may include a home detention condition. </t>
    </r>
  </si>
  <si>
    <r>
      <rPr>
        <b/>
        <sz val="10"/>
        <rFont val="Arial"/>
        <family val="2"/>
      </rPr>
      <t>Community Service Order (CSO) under the NSW Crime (Sentencing Procedure) Act:</t>
    </r>
    <r>
      <rPr>
        <sz val="10"/>
        <rFont val="Arial"/>
        <family val="2"/>
      </rPr>
      <t xml:space="preserve"> Offenders were ordered to perform a specified number of hours of unpaid community service work with a maximum of 500 hours of community service imposed on any one occasion. From 24 September 2018, CSOs are no longer a stand-alone sentencing option under the NSW </t>
    </r>
    <r>
      <rPr>
        <i/>
        <sz val="10"/>
        <rFont val="Arial"/>
        <family val="2"/>
      </rPr>
      <t>Crime (Sentencing Procedure) Act 1999</t>
    </r>
    <r>
      <rPr>
        <sz val="10"/>
        <rFont val="Arial"/>
        <family val="2"/>
      </rPr>
      <t xml:space="preserve">.  The new Community Corrections Order (CCO) and reformed Intensive Correction Order (ICO) may be imposed with a community service work condition. </t>
    </r>
  </si>
  <si>
    <r>
      <rPr>
        <b/>
        <sz val="10"/>
        <rFont val="Arial"/>
        <family val="2"/>
      </rPr>
      <t xml:space="preserve">Non-conviction bond: </t>
    </r>
    <r>
      <rPr>
        <sz val="10"/>
        <rFont val="Arial"/>
        <family val="2"/>
      </rPr>
      <t>Section 10(1)(b) of the Crimes (Sentencing Procedure) Act 1999 permitted a court to discharge a person on condition that they enter into a good behaviour bond for a term not exceeding two years. On 24 September 2018, good behaviour bonds were replaced by a Conditional Release Orders (CRO) under section 10(1)(b).</t>
    </r>
  </si>
  <si>
    <r>
      <rPr>
        <b/>
        <i/>
        <sz val="10"/>
        <color indexed="8"/>
        <rFont val="Arial"/>
        <family val="2"/>
      </rPr>
      <t xml:space="preserve">Persons of interest (POIs): </t>
    </r>
    <r>
      <rPr>
        <sz val="10"/>
        <color indexed="8"/>
        <rFont val="Arial"/>
        <family val="2"/>
      </rPr>
      <t>POIs are suspected offenders recorded by police in connection with a criminal incident. The POIs included in the Apprehended Violence Order table have all been proceeded against to court. POIs are not a count of unique offenders. Where an individual is involved in AVO incidents throughout the year they will appear as a POI multiple times. POIs are categorised as at the date they were legally proceeded against; not the date the incident occurred.</t>
    </r>
  </si>
  <si>
    <r>
      <rPr>
        <b/>
        <i/>
        <sz val="10"/>
        <color indexed="8"/>
        <rFont val="Arial"/>
        <family val="2"/>
      </rPr>
      <t>Plea:</t>
    </r>
    <r>
      <rPr>
        <sz val="10"/>
        <color indexed="8"/>
        <rFont val="Arial"/>
        <family val="2"/>
      </rPr>
      <t xml:space="preserve"> The formal statement by, or on behalf of, the defendant in response to a criminal charge that has been laid in a court. The nature of this response indicates whether or not the defendant intends to contest that charge.</t>
    </r>
  </si>
  <si>
    <r>
      <rPr>
        <b/>
        <i/>
        <sz val="10"/>
        <color indexed="8"/>
        <rFont val="Arial"/>
        <family val="2"/>
      </rPr>
      <t>Principal offence</t>
    </r>
    <r>
      <rPr>
        <b/>
        <sz val="10"/>
        <color indexed="8"/>
        <rFont val="Arial"/>
        <family val="2"/>
      </rPr>
      <t>:</t>
    </r>
    <r>
      <rPr>
        <sz val="10"/>
        <color indexed="8"/>
        <rFont val="Arial"/>
        <family val="2"/>
      </rPr>
      <t xml:space="preserve"> The principal offence is defined as the offence charged which received the most serious penalty according to the following rules: </t>
    </r>
  </si>
  <si>
    <t>(a) Where an offender is found guilty of more than one offence, the offence which received the most serious penalty type is the principal offence.</t>
  </si>
  <si>
    <t>The hierarchy of Children's Court penalties are:</t>
  </si>
  <si>
    <t>(i) Control order - a fixed term or non-parole period of detention in a Juvenile Justice NSW facility</t>
  </si>
  <si>
    <t>(ii) Community Service Order</t>
  </si>
  <si>
    <t>(iii) Probation Order - probation orders with Juvenile Justice NSW supervision, probation orders with other supervision and probation without supervision</t>
  </si>
  <si>
    <t>(iv) Fine</t>
  </si>
  <si>
    <t>(v) Bond - includes bond, suspended control order and conditional discharge, with supervision and without supervision</t>
  </si>
  <si>
    <t>(vi) Dismissed with caution</t>
  </si>
  <si>
    <t>(vii) Other proven outcomes – includes dismissed after Youth Justice Conference, no action taken on a breach of court orders, nominal sentence (rising of the court), conviction with no other penalty, disqualified driver and compensation.</t>
  </si>
  <si>
    <t>(b) Where there are two or more offences which received the same penalty type, the offence which received the greatest quantum of that penalty type is the principal offence. Note that for this calculation if multiple counts of the same offence type received different penalties they are treated as separate offences.</t>
  </si>
  <si>
    <t>(c) If there was more than one offence with a custodial penalty, the offence with the longest total sentence is selected as the principal offence.</t>
  </si>
  <si>
    <t>(d) If there was more than one offence with a custodial penalty with the same quantum of total sentence, the offence with the longest non-parole period is selected as the principal offence.</t>
  </si>
  <si>
    <t>(e) If there was more than one offence which received the same quantum of the same penalty type, including the same quantum of total sentence and non-parole period, the offence with the highest Median Sentence Ranking (see the Bureau’s Crime and Justice Bulletin No.142 ‘Measuring Offence Seriousness’) is selected as the principal offence.</t>
  </si>
  <si>
    <t>(f) Where an offence received more than one penalty, a principal penalty for that offence is first calculated following the rules set out above. The determination of principal offence is then calculated on the principal penalty for each offence.</t>
  </si>
  <si>
    <r>
      <rPr>
        <b/>
        <i/>
        <sz val="10"/>
        <color indexed="8"/>
        <rFont val="Arial"/>
        <family val="2"/>
      </rPr>
      <t>Rate per 100,000 population:</t>
    </r>
    <r>
      <rPr>
        <sz val="10"/>
        <color indexed="8"/>
        <rFont val="Arial"/>
        <family val="2"/>
      </rPr>
      <t xml:space="preserve"> For rate calculations, specialised population data were prepared and provided to BOCSAR by the Australian Bureau of Statistics.  For 12 month periods which are not a calendar year (e.g. a financial year), population is based on the later calendar year within range of the reference. </t>
    </r>
  </si>
  <si>
    <r>
      <rPr>
        <b/>
        <i/>
        <sz val="10"/>
        <rFont val="Arial"/>
        <family val="2"/>
      </rPr>
      <t>Statistical Area:</t>
    </r>
    <r>
      <rPr>
        <sz val="10"/>
        <rFont val="Arial"/>
        <family val="2"/>
      </rPr>
      <t xml:space="preserve"> This refers to the residential Statistical Area (SA) of the Person of Interest (POI) in the AVO matter.  Please see the maps in the Appendix of our latest recorded crime report (link below) for information on the location of each SA as well as lists of the Local Government Areas (LGAs using 2016 boundaries) within each of the SAs. Note that LGA boundaries change from time to time.</t>
    </r>
  </si>
  <si>
    <t>Link to the latest recorded crime report.</t>
  </si>
  <si>
    <r>
      <rPr>
        <b/>
        <i/>
        <sz val="10"/>
        <rFont val="Arial"/>
        <family val="2"/>
      </rPr>
      <t xml:space="preserve">Trial: </t>
    </r>
    <r>
      <rPr>
        <sz val="10"/>
        <rFont val="Arial"/>
        <family val="2"/>
      </rPr>
      <t>Where a defendant enters a not guilty plea or other defended plea in the committal proceedings, they are committed to a Higher Court for trial. In the Higher Courts, trials are usually conducted before a judge and jury whereby the judge rules on questions of law and the jury is responsible for determining whether or not the defendant is guilty. In NSW a trial can also be conducted before a judge alone.</t>
    </r>
  </si>
  <si>
    <t>Source: NSW Bureau of Crime Statistics and Research</t>
  </si>
  <si>
    <r>
      <rPr>
        <b/>
        <sz val="10"/>
        <color indexed="8"/>
        <rFont val="Arial"/>
        <family val="2"/>
      </rPr>
      <t>NOTE:</t>
    </r>
    <r>
      <rPr>
        <sz val="10"/>
        <color indexed="8"/>
        <rFont val="Arial"/>
        <family val="2"/>
      </rPr>
      <t xml:space="preserve"> Data sourced from the NSW Bureau of Crime Statistics and Research</t>
    </r>
  </si>
  <si>
    <t>Must be acknowledged in any document (electronic or otherwise) containing that data.</t>
  </si>
  <si>
    <r>
      <t>The acknowledgement should take the form of '</t>
    </r>
    <r>
      <rPr>
        <b/>
        <sz val="10"/>
        <color indexed="8"/>
        <rFont val="Arial"/>
        <family val="2"/>
      </rPr>
      <t>Source: NSW Bureau of Crime Statistics and Research</t>
    </r>
    <r>
      <rPr>
        <sz val="10"/>
        <color indexed="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</si>
</sst>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quot;$&quot;#,##0.00"/>
  </numFmts>
  <fonts count="46">
    <font>
      <sz val="8"/>
      <color rgb="FF000000"/>
      <name val="Courier New"/>
    </font>
    <font>
      <sz val="11"/>
      <color theme="1"/>
      <name val="Arial"/>
      <family val="2"/>
    </font>
    <font>
      <sz val="11"/>
      <color theme="1"/>
      <name val="Arial"/>
      <family val="2"/>
    </font>
    <font>
      <sz val="11"/>
      <color theme="1"/>
      <name val="Courier New"/>
      <family val="2"/>
      <scheme val="minor"/>
    </font>
    <font>
      <sz val="11"/>
      <color theme="1"/>
      <name val="Courier New"/>
      <family val="2"/>
      <scheme val="minor"/>
    </font>
    <font>
      <sz val="11"/>
      <color theme="1"/>
      <name val="Arial"/>
      <family val="2"/>
    </font>
    <font>
      <sz val="11"/>
      <color theme="1"/>
      <name val="Arial"/>
      <family val="2"/>
    </font>
    <font>
      <sz val="11"/>
      <color theme="1"/>
      <name val="Arial"/>
      <family val="2"/>
    </font>
    <font>
      <sz val="10"/>
      <color rgb="FF000000"/>
      <name val="Arial"/>
      <family val="2"/>
    </font>
    <font>
      <b/>
      <sz val="10"/>
      <color indexed="8"/>
      <name val="Arial"/>
      <family val="2"/>
    </font>
    <font>
      <sz val="10"/>
      <color indexed="8"/>
      <name val="Arial"/>
      <family val="2"/>
    </font>
    <font>
      <sz val="11"/>
      <color theme="1"/>
      <name val="Courier New"/>
      <family val="2"/>
      <scheme val="minor"/>
    </font>
    <font>
      <sz val="10"/>
      <name val="Arial"/>
      <family val="2"/>
    </font>
    <font>
      <u/>
      <sz val="10"/>
      <color theme="10"/>
      <name val="Arial"/>
      <family val="2"/>
    </font>
    <font>
      <b/>
      <i/>
      <sz val="10"/>
      <color rgb="FF000000"/>
      <name val="Arial"/>
      <family val="2"/>
    </font>
    <font>
      <b/>
      <i/>
      <sz val="10"/>
      <color indexed="8"/>
      <name val="Arial"/>
      <family val="2"/>
    </font>
    <font>
      <sz val="8"/>
      <color rgb="FF000000"/>
      <name val="Courier New"/>
      <family val="3"/>
    </font>
    <font>
      <b/>
      <sz val="10"/>
      <name val="Arial"/>
      <family val="2"/>
    </font>
    <font>
      <i/>
      <sz val="10"/>
      <name val="Arial"/>
      <family val="2"/>
    </font>
    <font>
      <b/>
      <sz val="12"/>
      <name val="Arial"/>
      <family val="2"/>
    </font>
    <font>
      <b/>
      <i/>
      <sz val="10"/>
      <name val="Arial"/>
      <family val="2"/>
    </font>
    <font>
      <sz val="10"/>
      <color theme="1"/>
      <name val="Arial"/>
      <family val="2"/>
    </font>
    <font>
      <sz val="10"/>
      <color rgb="FFFF0000"/>
      <name val="Arial"/>
      <family val="2"/>
    </font>
    <font>
      <sz val="8"/>
      <color theme="1"/>
      <name val="Arial"/>
      <family val="2"/>
    </font>
    <font>
      <u/>
      <sz val="11"/>
      <color theme="10"/>
      <name val="Courier New"/>
      <family val="2"/>
      <scheme val="minor"/>
    </font>
    <font>
      <sz val="10"/>
      <color theme="1"/>
      <name val="Courier New"/>
      <family val="2"/>
      <scheme val="minor"/>
    </font>
    <font>
      <b/>
      <i/>
      <sz val="10"/>
      <color theme="1"/>
      <name val="Courier New"/>
      <family val="2"/>
      <scheme val="minor"/>
    </font>
    <font>
      <b/>
      <i/>
      <sz val="10"/>
      <color theme="1"/>
      <name val="Arial"/>
      <family val="2"/>
    </font>
    <font>
      <u/>
      <sz val="10"/>
      <color theme="10"/>
      <name val="Courier New"/>
      <family val="2"/>
      <scheme val="minor"/>
    </font>
    <font>
      <sz val="10"/>
      <color theme="0"/>
      <name val="Arial"/>
      <family val="2"/>
    </font>
    <font>
      <b/>
      <i/>
      <u/>
      <sz val="10"/>
      <color theme="1"/>
      <name val="Arial"/>
      <family val="2"/>
    </font>
    <font>
      <i/>
      <sz val="10"/>
      <color rgb="FF000000"/>
      <name val="Arial"/>
      <family val="2"/>
    </font>
    <font>
      <sz val="11"/>
      <name val="Courier New"/>
      <family val="2"/>
      <scheme val="minor"/>
    </font>
    <font>
      <u/>
      <sz val="10"/>
      <name val="Arial"/>
      <family val="2"/>
    </font>
    <font>
      <sz val="8"/>
      <color rgb="FF000000"/>
      <name val="Arial"/>
      <family val="2"/>
    </font>
    <font>
      <u/>
      <sz val="11"/>
      <color theme="1"/>
      <name val="Arial"/>
      <family val="2"/>
    </font>
    <font>
      <b/>
      <sz val="14"/>
      <color rgb="FF441170"/>
      <name val="Arial"/>
      <family val="2"/>
    </font>
    <font>
      <b/>
      <sz val="11"/>
      <color theme="1"/>
      <name val="Arial"/>
      <family val="2"/>
    </font>
    <font>
      <sz val="12"/>
      <color theme="1"/>
      <name val="Arial"/>
      <family val="2"/>
    </font>
    <font>
      <sz val="12"/>
      <color rgb="FF22272B"/>
      <name val="Arial"/>
      <family val="2"/>
    </font>
    <font>
      <b/>
      <sz val="12"/>
      <color rgb="FF441170"/>
      <name val="Arial"/>
      <family val="2"/>
    </font>
    <font>
      <sz val="18"/>
      <color theme="1"/>
      <name val="Arial"/>
      <family val="2"/>
    </font>
    <font>
      <sz val="32"/>
      <color theme="1"/>
      <name val="Arial"/>
      <family val="2"/>
    </font>
    <font>
      <sz val="8"/>
      <color rgb="FFFF0000"/>
      <name val="Arial"/>
      <family val="2"/>
    </font>
    <font>
      <u/>
      <sz val="18"/>
      <color theme="0"/>
      <name val="Arial"/>
      <family val="2"/>
    </font>
    <font>
      <b/>
      <sz val="10"/>
      <color rgb="FF000000"/>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2"/>
        <bgColor indexed="64"/>
      </patternFill>
    </fill>
    <fill>
      <patternFill patternType="solid">
        <fgColor rgb="FF441170"/>
        <bgColor indexed="64"/>
      </patternFill>
    </fill>
  </fills>
  <borders count="2">
    <border>
      <left/>
      <right/>
      <top/>
      <bottom/>
      <diagonal/>
    </border>
    <border>
      <left/>
      <right/>
      <top/>
      <bottom style="thick">
        <color rgb="FF441170"/>
      </bottom>
      <diagonal/>
    </border>
  </borders>
  <cellStyleXfs count="61">
    <xf numFmtId="0" fontId="0" fillId="0" borderId="0"/>
    <xf numFmtId="0" fontId="11" fillId="0" borderId="0"/>
    <xf numFmtId="164" fontId="12" fillId="0" borderId="0" applyFont="0" applyFill="0" applyBorder="0" applyAlignment="0" applyProtection="0"/>
    <xf numFmtId="0" fontId="13" fillId="0" borderId="0" applyNumberFormat="0" applyFill="0" applyBorder="0" applyAlignment="0" applyProtection="0"/>
    <xf numFmtId="0" fontId="12" fillId="0" borderId="0"/>
    <xf numFmtId="0" fontId="11" fillId="0" borderId="0"/>
    <xf numFmtId="0" fontId="12" fillId="0" borderId="0"/>
    <xf numFmtId="0" fontId="12" fillId="0" borderId="0"/>
    <xf numFmtId="0" fontId="11" fillId="0" borderId="0"/>
    <xf numFmtId="0" fontId="11" fillId="0" borderId="0"/>
    <xf numFmtId="0" fontId="12" fillId="0" borderId="0"/>
    <xf numFmtId="0" fontId="12" fillId="0" borderId="0"/>
    <xf numFmtId="0" fontId="7" fillId="0" borderId="0"/>
    <xf numFmtId="9" fontId="12" fillId="0" borderId="0" applyFill="0" applyBorder="0" applyAlignment="0" applyProtection="0"/>
    <xf numFmtId="9" fontId="12" fillId="0" borderId="0" applyFill="0" applyBorder="0" applyAlignment="0" applyProtection="0"/>
    <xf numFmtId="9" fontId="12" fillId="0" borderId="0" applyFill="0" applyBorder="0" applyAlignment="0" applyProtection="0"/>
    <xf numFmtId="0" fontId="16" fillId="0" borderId="0"/>
    <xf numFmtId="0" fontId="6" fillId="0" borderId="0"/>
    <xf numFmtId="0" fontId="11" fillId="0" borderId="0"/>
    <xf numFmtId="0" fontId="11" fillId="0" borderId="0"/>
    <xf numFmtId="0" fontId="11" fillId="0" borderId="0"/>
    <xf numFmtId="0" fontId="11" fillId="0" borderId="0"/>
    <xf numFmtId="0" fontId="24" fillId="0" borderId="0" applyNumberFormat="0" applyFill="0" applyBorder="0" applyAlignment="0" applyProtection="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96">
    <xf numFmtId="0" fontId="0" fillId="0" borderId="0" xfId="0" applyAlignment="1">
      <alignment horizontal="left"/>
    </xf>
    <xf numFmtId="0" fontId="19" fillId="0" borderId="0" xfId="5" applyFont="1" applyAlignment="1">
      <alignment horizontal="left"/>
    </xf>
    <xf numFmtId="0" fontId="21" fillId="0" borderId="0" xfId="5" applyFont="1"/>
    <xf numFmtId="0" fontId="22" fillId="0" borderId="0" xfId="5" applyFont="1"/>
    <xf numFmtId="0" fontId="11" fillId="0" borderId="0" xfId="5"/>
    <xf numFmtId="0" fontId="5" fillId="0" borderId="0" xfId="5" applyFont="1"/>
    <xf numFmtId="0" fontId="23" fillId="0" borderId="0" xfId="5" applyFont="1"/>
    <xf numFmtId="0" fontId="12" fillId="0" borderId="0" xfId="4" applyAlignment="1">
      <alignment horizontal="left"/>
    </xf>
    <xf numFmtId="0" fontId="25" fillId="0" borderId="0" xfId="5" applyFont="1"/>
    <xf numFmtId="0" fontId="26" fillId="0" borderId="0" xfId="5" applyFont="1"/>
    <xf numFmtId="0" fontId="14" fillId="0" borderId="0" xfId="5" applyFont="1" applyAlignment="1">
      <alignment vertical="top" wrapText="1"/>
    </xf>
    <xf numFmtId="0" fontId="27" fillId="0" borderId="0" xfId="5" applyFont="1" applyAlignment="1">
      <alignment vertical="top" wrapText="1"/>
    </xf>
    <xf numFmtId="0" fontId="28" fillId="0" borderId="0" xfId="22" applyFont="1" applyAlignment="1">
      <alignment horizontal="right"/>
    </xf>
    <xf numFmtId="0" fontId="28" fillId="0" borderId="0" xfId="22" applyFont="1" applyAlignment="1">
      <alignment horizontal="left" vertical="top" wrapText="1"/>
    </xf>
    <xf numFmtId="0" fontId="21" fillId="0" borderId="0" xfId="5" applyFont="1" applyAlignment="1">
      <alignment horizontal="left" vertical="top" wrapText="1"/>
    </xf>
    <xf numFmtId="0" fontId="21" fillId="0" borderId="0" xfId="5" applyFont="1" applyAlignment="1">
      <alignment horizontal="left" vertical="top"/>
    </xf>
    <xf numFmtId="0" fontId="13" fillId="0" borderId="0" xfId="22" applyFont="1" applyFill="1" applyBorder="1" applyAlignment="1">
      <alignment horizontal="left"/>
    </xf>
    <xf numFmtId="0" fontId="14" fillId="0" borderId="0" xfId="5" applyFont="1" applyAlignment="1">
      <alignment vertical="top"/>
    </xf>
    <xf numFmtId="0" fontId="27" fillId="0" borderId="0" xfId="5" applyFont="1" applyAlignment="1">
      <alignment vertical="top"/>
    </xf>
    <xf numFmtId="0" fontId="12" fillId="0" borderId="0" xfId="4"/>
    <xf numFmtId="0" fontId="12" fillId="0" borderId="0" xfId="5" applyFont="1"/>
    <xf numFmtId="0" fontId="12" fillId="0" borderId="0" xfId="16" applyFont="1"/>
    <xf numFmtId="0" fontId="29" fillId="0" borderId="0" xfId="56" applyFont="1" applyAlignment="1">
      <alignment horizontal="left"/>
    </xf>
    <xf numFmtId="0" fontId="30" fillId="0" borderId="0" xfId="56" applyFont="1" applyAlignment="1">
      <alignment horizontal="left" vertical="top"/>
    </xf>
    <xf numFmtId="49" fontId="17" fillId="0" borderId="0" xfId="16" applyNumberFormat="1" applyFont="1" applyAlignment="1">
      <alignment horizontal="left" vertical="top"/>
    </xf>
    <xf numFmtId="0" fontId="8" fillId="0" borderId="0" xfId="56" applyFont="1" applyAlignment="1">
      <alignment vertical="top"/>
    </xf>
    <xf numFmtId="0" fontId="30" fillId="0" borderId="0" xfId="56" applyFont="1" applyAlignment="1">
      <alignment vertical="top"/>
    </xf>
    <xf numFmtId="49" fontId="12" fillId="0" borderId="0" xfId="56" applyNumberFormat="1" applyFont="1" applyAlignment="1">
      <alignment horizontal="left" vertical="top"/>
    </xf>
    <xf numFmtId="49" fontId="20" fillId="0" borderId="0" xfId="16" applyNumberFormat="1" applyFont="1" applyAlignment="1">
      <alignment horizontal="left" vertical="top"/>
    </xf>
    <xf numFmtId="49" fontId="9" fillId="0" borderId="0" xfId="16" applyNumberFormat="1" applyFont="1" applyAlignment="1">
      <alignment horizontal="left" vertical="top"/>
    </xf>
    <xf numFmtId="49" fontId="10" fillId="0" borderId="0" xfId="16" applyNumberFormat="1" applyFont="1" applyAlignment="1">
      <alignment horizontal="left" vertical="top" indent="1"/>
    </xf>
    <xf numFmtId="49" fontId="17" fillId="0" borderId="0" xfId="16" applyNumberFormat="1" applyFont="1" applyAlignment="1">
      <alignment horizontal="left" vertical="top" indent="1"/>
    </xf>
    <xf numFmtId="49" fontId="12" fillId="0" borderId="0" xfId="16" applyNumberFormat="1" applyFont="1" applyAlignment="1">
      <alignment horizontal="left" vertical="top" wrapText="1"/>
    </xf>
    <xf numFmtId="49" fontId="10" fillId="0" borderId="0" xfId="16" applyNumberFormat="1" applyFont="1" applyAlignment="1">
      <alignment horizontal="left" vertical="top" wrapText="1"/>
    </xf>
    <xf numFmtId="0" fontId="17" fillId="0" borderId="0" xfId="5" applyFont="1" applyAlignment="1">
      <alignment horizontal="left"/>
    </xf>
    <xf numFmtId="0" fontId="13" fillId="0" borderId="0" xfId="22" applyFont="1"/>
    <xf numFmtId="0" fontId="13" fillId="0" borderId="0" xfId="22" applyFont="1" applyAlignment="1">
      <alignment horizontal="center" vertical="center"/>
    </xf>
    <xf numFmtId="0" fontId="13" fillId="0" borderId="0" xfId="22" applyFont="1" applyAlignment="1">
      <alignment horizontal="left" vertical="top"/>
    </xf>
    <xf numFmtId="49" fontId="13" fillId="0" borderId="0" xfId="22" applyNumberFormat="1" applyFont="1" applyAlignment="1"/>
    <xf numFmtId="0" fontId="29" fillId="0" borderId="0" xfId="5" applyFont="1"/>
    <xf numFmtId="0" fontId="32" fillId="0" borderId="0" xfId="5" applyFont="1"/>
    <xf numFmtId="0" fontId="12" fillId="0" borderId="0" xfId="16" applyFont="1" applyAlignment="1">
      <alignment horizontal="left" vertical="top" wrapText="1"/>
    </xf>
    <xf numFmtId="49" fontId="18" fillId="0" borderId="0" xfId="16" applyNumberFormat="1" applyFont="1" applyAlignment="1">
      <alignment horizontal="left" vertical="top" wrapText="1"/>
    </xf>
    <xf numFmtId="49" fontId="12" fillId="0" borderId="0" xfId="16" applyNumberFormat="1" applyFont="1" applyAlignment="1">
      <alignment horizontal="left" vertical="top"/>
    </xf>
    <xf numFmtId="0" fontId="12" fillId="0" borderId="0" xfId="56" applyFont="1" applyAlignment="1">
      <alignment vertical="top"/>
    </xf>
    <xf numFmtId="0" fontId="21" fillId="0" borderId="0" xfId="56" applyFont="1" applyAlignment="1">
      <alignment vertical="top"/>
    </xf>
    <xf numFmtId="0" fontId="8" fillId="0" borderId="0" xfId="16" applyFont="1" applyAlignment="1">
      <alignment horizontal="left" vertical="top"/>
    </xf>
    <xf numFmtId="0" fontId="22" fillId="0" borderId="0" xfId="56" applyFont="1" applyAlignment="1">
      <alignment vertical="top"/>
    </xf>
    <xf numFmtId="49" fontId="8" fillId="0" borderId="0" xfId="56" applyNumberFormat="1" applyFont="1" applyAlignment="1">
      <alignment horizontal="left" vertical="top"/>
    </xf>
    <xf numFmtId="0" fontId="12" fillId="0" borderId="0" xfId="56" applyFont="1" applyAlignment="1">
      <alignment horizontal="left" vertical="top"/>
    </xf>
    <xf numFmtId="49" fontId="9" fillId="0" borderId="0" xfId="56" applyNumberFormat="1" applyFont="1" applyAlignment="1">
      <alignment horizontal="center" vertical="top"/>
    </xf>
    <xf numFmtId="0" fontId="12" fillId="0" borderId="0" xfId="16" applyFont="1" applyAlignment="1">
      <alignment horizontal="left" vertical="top"/>
    </xf>
    <xf numFmtId="0" fontId="13" fillId="0" borderId="0" xfId="22" applyFont="1" applyFill="1" applyBorder="1" applyAlignment="1">
      <alignment horizontal="left" vertical="top"/>
    </xf>
    <xf numFmtId="0" fontId="34" fillId="0" borderId="0" xfId="16" applyFont="1" applyAlignment="1">
      <alignment horizontal="left"/>
    </xf>
    <xf numFmtId="0" fontId="23" fillId="0" borderId="0" xfId="16" applyFont="1" applyAlignment="1">
      <alignment horizontal="left"/>
    </xf>
    <xf numFmtId="0" fontId="34" fillId="3" borderId="0" xfId="16" applyFont="1" applyFill="1" applyAlignment="1">
      <alignment horizontal="left"/>
    </xf>
    <xf numFmtId="0" fontId="23" fillId="3" borderId="0" xfId="16" applyFont="1" applyFill="1" applyAlignment="1">
      <alignment horizontal="left"/>
    </xf>
    <xf numFmtId="0" fontId="34" fillId="3" borderId="1" xfId="16" applyFont="1" applyFill="1" applyBorder="1" applyAlignment="1">
      <alignment horizontal="left"/>
    </xf>
    <xf numFmtId="0" fontId="23" fillId="3" borderId="1" xfId="16" applyFont="1" applyFill="1" applyBorder="1" applyAlignment="1">
      <alignment horizontal="left"/>
    </xf>
    <xf numFmtId="0" fontId="35" fillId="3" borderId="0" xfId="22" applyFont="1" applyFill="1" applyAlignment="1">
      <alignment horizontal="left"/>
    </xf>
    <xf numFmtId="0" fontId="21" fillId="3" borderId="0" xfId="16" applyFont="1" applyFill="1" applyAlignment="1">
      <alignment horizontal="left"/>
    </xf>
    <xf numFmtId="0" fontId="36" fillId="3" borderId="0" xfId="22" applyFont="1" applyFill="1" applyAlignment="1">
      <alignment horizontal="left"/>
    </xf>
    <xf numFmtId="0" fontId="37" fillId="3" borderId="0" xfId="22" applyFont="1" applyFill="1" applyAlignment="1">
      <alignment horizontal="left"/>
    </xf>
    <xf numFmtId="0" fontId="38" fillId="3" borderId="0" xfId="16" applyFont="1" applyFill="1" applyAlignment="1">
      <alignment horizontal="left"/>
    </xf>
    <xf numFmtId="0" fontId="39" fillId="0" borderId="0" xfId="16" applyFont="1" applyAlignment="1">
      <alignment horizontal="left"/>
    </xf>
    <xf numFmtId="0" fontId="40" fillId="3" borderId="0" xfId="16" applyFont="1" applyFill="1" applyAlignment="1">
      <alignment horizontal="left"/>
    </xf>
    <xf numFmtId="0" fontId="38" fillId="3" borderId="0" xfId="22" applyFont="1" applyFill="1" applyAlignment="1">
      <alignment horizontal="left"/>
    </xf>
    <xf numFmtId="0" fontId="38" fillId="0" borderId="0" xfId="22" applyFont="1" applyAlignment="1">
      <alignment horizontal="left"/>
    </xf>
    <xf numFmtId="0" fontId="34" fillId="4" borderId="0" xfId="16" applyFont="1" applyFill="1" applyAlignment="1">
      <alignment horizontal="left"/>
    </xf>
    <xf numFmtId="0" fontId="23" fillId="4" borderId="0" xfId="16" applyFont="1" applyFill="1" applyAlignment="1">
      <alignment horizontal="left"/>
    </xf>
    <xf numFmtId="0" fontId="41" fillId="4" borderId="0" xfId="16" applyFont="1" applyFill="1" applyAlignment="1">
      <alignment horizontal="left"/>
    </xf>
    <xf numFmtId="165" fontId="42" fillId="4" borderId="0" xfId="16" applyNumberFormat="1" applyFont="1" applyFill="1" applyAlignment="1">
      <alignment horizontal="left" vertical="top" wrapText="1" readingOrder="1"/>
    </xf>
    <xf numFmtId="0" fontId="43" fillId="3" borderId="0" xfId="16" applyFont="1" applyFill="1" applyAlignment="1">
      <alignment horizontal="left"/>
    </xf>
    <xf numFmtId="0" fontId="34" fillId="5" borderId="0" xfId="16" applyFont="1" applyFill="1" applyAlignment="1">
      <alignment horizontal="left"/>
    </xf>
    <xf numFmtId="0" fontId="43" fillId="5" borderId="0" xfId="16" applyFont="1" applyFill="1" applyAlignment="1">
      <alignment horizontal="left"/>
    </xf>
    <xf numFmtId="0" fontId="12" fillId="0" borderId="0" xfId="22" applyFont="1" applyFill="1" applyAlignment="1">
      <alignment vertical="center" wrapText="1"/>
    </xf>
    <xf numFmtId="0" fontId="1" fillId="0" borderId="0" xfId="5" applyFont="1"/>
    <xf numFmtId="0" fontId="8" fillId="0" borderId="0" xfId="0" applyFont="1" applyAlignment="1">
      <alignment horizontal="left" wrapText="1"/>
    </xf>
    <xf numFmtId="0" fontId="45" fillId="0" borderId="0" xfId="0" applyFont="1" applyAlignment="1">
      <alignment horizontal="left" vertical="center" wrapText="1"/>
    </xf>
    <xf numFmtId="0" fontId="45" fillId="0" borderId="0" xfId="0" applyFont="1" applyAlignment="1">
      <alignment horizontal="center" vertical="center" wrapText="1"/>
    </xf>
    <xf numFmtId="0" fontId="43" fillId="3" borderId="0" xfId="16" applyFont="1" applyFill="1" applyAlignment="1">
      <alignment horizontal="left"/>
    </xf>
    <xf numFmtId="165" fontId="42" fillId="4" borderId="0" xfId="16" applyNumberFormat="1" applyFont="1" applyFill="1" applyAlignment="1">
      <alignment horizontal="left" vertical="top" wrapText="1" readingOrder="1"/>
    </xf>
    <xf numFmtId="0" fontId="44" fillId="5" borderId="0" xfId="22" applyFont="1" applyFill="1" applyAlignment="1">
      <alignment horizontal="center" vertical="center"/>
    </xf>
    <xf numFmtId="0" fontId="12" fillId="2" borderId="0" xfId="22" applyFont="1" applyFill="1" applyAlignment="1">
      <alignment horizontal="left" wrapText="1"/>
    </xf>
    <xf numFmtId="0" fontId="27" fillId="0" borderId="0" xfId="5" applyFont="1" applyAlignment="1">
      <alignment horizontal="left" vertical="top" wrapText="1"/>
    </xf>
    <xf numFmtId="0" fontId="14" fillId="0" borderId="0" xfId="5" applyFont="1" applyAlignment="1">
      <alignment horizontal="left" vertical="top" wrapText="1"/>
    </xf>
    <xf numFmtId="49" fontId="10" fillId="0" borderId="0" xfId="16" applyNumberFormat="1" applyFont="1" applyAlignment="1">
      <alignment horizontal="left" vertical="top" wrapText="1"/>
    </xf>
    <xf numFmtId="49" fontId="12" fillId="0" borderId="0" xfId="16" applyNumberFormat="1" applyFont="1" applyAlignment="1">
      <alignment horizontal="left" vertical="top" wrapText="1"/>
    </xf>
    <xf numFmtId="49" fontId="12" fillId="0" borderId="0" xfId="16" applyNumberFormat="1" applyFont="1" applyAlignment="1">
      <alignment horizontal="left" vertical="top" wrapText="1" indent="1"/>
    </xf>
    <xf numFmtId="49" fontId="17" fillId="0" borderId="0" xfId="16" applyNumberFormat="1" applyFont="1" applyAlignment="1">
      <alignment horizontal="left" vertical="top" wrapText="1"/>
    </xf>
    <xf numFmtId="49" fontId="12" fillId="0" borderId="0" xfId="16" applyNumberFormat="1" applyFont="1" applyAlignment="1">
      <alignment horizontal="left" wrapText="1" indent="1"/>
    </xf>
    <xf numFmtId="49" fontId="12" fillId="0" borderId="0" xfId="16" applyNumberFormat="1" applyFont="1" applyAlignment="1">
      <alignment horizontal="left" wrapText="1"/>
    </xf>
    <xf numFmtId="49" fontId="12" fillId="0" borderId="0" xfId="22" applyNumberFormat="1" applyFont="1" applyFill="1" applyBorder="1" applyAlignment="1">
      <alignment horizontal="left" vertical="top" wrapText="1"/>
    </xf>
    <xf numFmtId="49" fontId="13" fillId="0" borderId="0" xfId="22" applyNumberFormat="1" applyFont="1" applyFill="1" applyBorder="1" applyAlignment="1">
      <alignment horizontal="left" vertical="top" wrapText="1"/>
    </xf>
    <xf numFmtId="49" fontId="18" fillId="0" borderId="0" xfId="16" applyNumberFormat="1" applyFont="1" applyAlignment="1">
      <alignment horizontal="left" vertical="top" wrapText="1"/>
    </xf>
    <xf numFmtId="0" fontId="12" fillId="0" borderId="0" xfId="16" applyFont="1" applyAlignment="1">
      <alignment horizontal="left" vertical="top" wrapText="1"/>
    </xf>
  </cellXfs>
  <cellStyles count="61">
    <cellStyle name="Comma 2" xfId="2" xr:uid="{00000000-0005-0000-0000-000000000000}"/>
    <cellStyle name="Hyperlink" xfId="22" builtinId="8"/>
    <cellStyle name="Hyperlink 2" xfId="3" xr:uid="{00000000-0005-0000-0000-000002000000}"/>
    <cellStyle name="Normal" xfId="0" builtinId="0"/>
    <cellStyle name="Normal 10" xfId="59" xr:uid="{00000000-0005-0000-0000-000004000000}"/>
    <cellStyle name="Normal 11" xfId="60" xr:uid="{00000000-0005-0000-0000-000005000000}"/>
    <cellStyle name="Normal 2" xfId="4" xr:uid="{00000000-0005-0000-0000-000006000000}"/>
    <cellStyle name="Normal 2 2" xfId="5" xr:uid="{00000000-0005-0000-0000-000007000000}"/>
    <cellStyle name="Normal 2 2 2" xfId="6" xr:uid="{00000000-0005-0000-0000-000008000000}"/>
    <cellStyle name="Normal 2 2 3" xfId="19" xr:uid="{00000000-0005-0000-0000-000009000000}"/>
    <cellStyle name="Normal 2 2 3 2" xfId="30" xr:uid="{00000000-0005-0000-0000-00000A000000}"/>
    <cellStyle name="Normal 2 2 3 2 2" xfId="56" xr:uid="{00000000-0005-0000-0000-00000B000000}"/>
    <cellStyle name="Normal 2 2 3 3" xfId="48" xr:uid="{00000000-0005-0000-0000-00000C000000}"/>
    <cellStyle name="Normal 2 2 3 4" xfId="38" xr:uid="{00000000-0005-0000-0000-00000D000000}"/>
    <cellStyle name="Normal 2 2 4" xfId="24" xr:uid="{00000000-0005-0000-0000-00000E000000}"/>
    <cellStyle name="Normal 2 2 4 2" xfId="52" xr:uid="{00000000-0005-0000-0000-00000F000000}"/>
    <cellStyle name="Normal 2 2 5" xfId="42" xr:uid="{00000000-0005-0000-0000-000010000000}"/>
    <cellStyle name="Normal 2 2 6" xfId="34" xr:uid="{00000000-0005-0000-0000-000011000000}"/>
    <cellStyle name="Normal 2 3" xfId="7" xr:uid="{00000000-0005-0000-0000-000012000000}"/>
    <cellStyle name="Normal 2 4" xfId="8" xr:uid="{00000000-0005-0000-0000-000013000000}"/>
    <cellStyle name="Normal 2 4 2" xfId="20" xr:uid="{00000000-0005-0000-0000-000014000000}"/>
    <cellStyle name="Normal 2 4 2 2" xfId="31" xr:uid="{00000000-0005-0000-0000-000015000000}"/>
    <cellStyle name="Normal 2 4 2 2 2" xfId="57" xr:uid="{00000000-0005-0000-0000-000016000000}"/>
    <cellStyle name="Normal 2 4 2 3" xfId="49" xr:uid="{00000000-0005-0000-0000-000017000000}"/>
    <cellStyle name="Normal 2 4 2 4" xfId="39" xr:uid="{00000000-0005-0000-0000-000018000000}"/>
    <cellStyle name="Normal 2 4 3" xfId="25" xr:uid="{00000000-0005-0000-0000-000019000000}"/>
    <cellStyle name="Normal 2 4 3 2" xfId="53" xr:uid="{00000000-0005-0000-0000-00001A000000}"/>
    <cellStyle name="Normal 2 4 4" xfId="43" xr:uid="{00000000-0005-0000-0000-00001B000000}"/>
    <cellStyle name="Normal 2 4 5" xfId="35" xr:uid="{00000000-0005-0000-0000-00001C000000}"/>
    <cellStyle name="Normal 3" xfId="9" xr:uid="{00000000-0005-0000-0000-00001D000000}"/>
    <cellStyle name="Normal 3 2" xfId="21" xr:uid="{00000000-0005-0000-0000-00001E000000}"/>
    <cellStyle name="Normal 3 2 2" xfId="32" xr:uid="{00000000-0005-0000-0000-00001F000000}"/>
    <cellStyle name="Normal 3 2 2 2" xfId="58" xr:uid="{00000000-0005-0000-0000-000020000000}"/>
    <cellStyle name="Normal 3 2 3" xfId="50" xr:uid="{00000000-0005-0000-0000-000021000000}"/>
    <cellStyle name="Normal 3 2 4" xfId="40" xr:uid="{00000000-0005-0000-0000-000022000000}"/>
    <cellStyle name="Normal 3 3" xfId="26" xr:uid="{00000000-0005-0000-0000-000023000000}"/>
    <cellStyle name="Normal 3 3 2" xfId="54" xr:uid="{00000000-0005-0000-0000-000024000000}"/>
    <cellStyle name="Normal 3 4" xfId="44" xr:uid="{00000000-0005-0000-0000-000025000000}"/>
    <cellStyle name="Normal 3 5" xfId="36" xr:uid="{00000000-0005-0000-0000-000026000000}"/>
    <cellStyle name="Normal 4" xfId="10" xr:uid="{00000000-0005-0000-0000-000027000000}"/>
    <cellStyle name="Normal 5" xfId="11" xr:uid="{00000000-0005-0000-0000-000028000000}"/>
    <cellStyle name="Normal 6" xfId="12" xr:uid="{00000000-0005-0000-0000-000029000000}"/>
    <cellStyle name="Normal 6 2" xfId="17" xr:uid="{00000000-0005-0000-0000-00002A000000}"/>
    <cellStyle name="Normal 6 2 2" xfId="28" xr:uid="{00000000-0005-0000-0000-00002B000000}"/>
    <cellStyle name="Normal 6 2 3" xfId="46" xr:uid="{00000000-0005-0000-0000-00002C000000}"/>
    <cellStyle name="Normal 6 3" xfId="27" xr:uid="{00000000-0005-0000-0000-00002D000000}"/>
    <cellStyle name="Normal 6 4" xfId="45" xr:uid="{00000000-0005-0000-0000-00002E000000}"/>
    <cellStyle name="Normal 7" xfId="1" xr:uid="{00000000-0005-0000-0000-00002F000000}"/>
    <cellStyle name="Normal 7 2" xfId="23" xr:uid="{00000000-0005-0000-0000-000030000000}"/>
    <cellStyle name="Normal 7 2 2" xfId="51" xr:uid="{00000000-0005-0000-0000-000031000000}"/>
    <cellStyle name="Normal 7 3" xfId="41" xr:uid="{00000000-0005-0000-0000-000032000000}"/>
    <cellStyle name="Normal 7 4" xfId="33" xr:uid="{00000000-0005-0000-0000-000033000000}"/>
    <cellStyle name="Normal 8" xfId="18" xr:uid="{00000000-0005-0000-0000-000034000000}"/>
    <cellStyle name="Normal 8 2" xfId="29" xr:uid="{00000000-0005-0000-0000-000035000000}"/>
    <cellStyle name="Normal 8 2 2" xfId="55" xr:uid="{00000000-0005-0000-0000-000036000000}"/>
    <cellStyle name="Normal 8 3" xfId="47" xr:uid="{00000000-0005-0000-0000-000037000000}"/>
    <cellStyle name="Normal 8 4" xfId="37" xr:uid="{00000000-0005-0000-0000-000038000000}"/>
    <cellStyle name="Normal 9" xfId="16" xr:uid="{00000000-0005-0000-0000-000039000000}"/>
    <cellStyle name="Percent 2" xfId="13" xr:uid="{00000000-0005-0000-0000-00003A000000}"/>
    <cellStyle name="Percent 2 2" xfId="14" xr:uid="{00000000-0005-0000-0000-00003B000000}"/>
    <cellStyle name="Percent 3" xfId="15" xr:uid="{00000000-0005-0000-0000-00003C000000}"/>
  </cellStyles>
  <dxfs count="0"/>
  <tableStyles count="0" defaultTableStyle="TableStyleMedium9" defaultPivotStyle="PivotStyleMedium4"/>
  <colors>
    <mruColors>
      <color rgb="FFFF0000"/>
      <color rgb="FFA9D08E"/>
      <color rgb="FFFF3300"/>
      <color rgb="FFFF5050"/>
      <color rgb="FFFFCC99"/>
      <color rgb="FFF5F6BA"/>
      <color rgb="FFB5FB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absoluteAnchor>
    <xdr:pos x="323851" y="605028"/>
    <xdr:ext cx="4305300" cy="242924"/>
    <xdr:pic>
      <xdr:nvPicPr>
        <xdr:cNvPr id="2" name="Picture 1">
          <a:extLst>
            <a:ext uri="{FF2B5EF4-FFF2-40B4-BE49-F238E27FC236}">
              <a16:creationId xmlns:a16="http://schemas.microsoft.com/office/drawing/2014/main" id="{E63156B2-375F-4B1C-A1CF-34EEF3FA568A}"/>
            </a:ext>
          </a:extLst>
        </xdr:cNvPr>
        <xdr:cNvPicPr>
          <a:picLocks noChangeAspect="1"/>
        </xdr:cNvPicPr>
      </xdr:nvPicPr>
      <xdr:blipFill>
        <a:blip xmlns:r="http://schemas.openxmlformats.org/officeDocument/2006/relationships" r:embed="rId1"/>
        <a:srcRect/>
        <a:stretch/>
      </xdr:blipFill>
      <xdr:spPr>
        <a:xfrm>
          <a:off x="323851" y="605028"/>
          <a:ext cx="4305300" cy="242924"/>
        </a:xfrm>
        <a:prstGeom prst="rect">
          <a:avLst/>
        </a:prstGeom>
      </xdr:spPr>
    </xdr:pic>
    <xdr:clientData/>
  </xdr:absoluteAnchor>
  <xdr:twoCellAnchor>
    <xdr:from>
      <xdr:col>12</xdr:col>
      <xdr:colOff>378690</xdr:colOff>
      <xdr:row>7</xdr:row>
      <xdr:rowOff>142871</xdr:rowOff>
    </xdr:from>
    <xdr:to>
      <xdr:col>19</xdr:col>
      <xdr:colOff>607159</xdr:colOff>
      <xdr:row>32</xdr:row>
      <xdr:rowOff>79375</xdr:rowOff>
    </xdr:to>
    <xdr:pic>
      <xdr:nvPicPr>
        <xdr:cNvPr id="3" name="Picture 2">
          <a:extLst>
            <a:ext uri="{FF2B5EF4-FFF2-40B4-BE49-F238E27FC236}">
              <a16:creationId xmlns:a16="http://schemas.microsoft.com/office/drawing/2014/main" id="{9CABEC80-FE7C-476F-871E-0CEAD482A668}"/>
            </a:ext>
          </a:extLst>
        </xdr:cNvPr>
        <xdr:cNvPicPr>
          <a:picLocks noChangeAspect="1"/>
        </xdr:cNvPicPr>
      </xdr:nvPicPr>
      <xdr:blipFill>
        <a:blip xmlns:r="http://schemas.openxmlformats.org/officeDocument/2006/relationships" r:embed="rId2"/>
        <a:srcRect/>
        <a:stretch/>
      </xdr:blipFill>
      <xdr:spPr>
        <a:xfrm>
          <a:off x="7693890" y="1476371"/>
          <a:ext cx="4495669" cy="4699004"/>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bcsr@dcj.nsw.gov.au" TargetMode="External"/><Relationship Id="rId2" Type="http://schemas.openxmlformats.org/officeDocument/2006/relationships/hyperlink" Target="mailto:bcsr@dcj.nsw.gov.au" TargetMode="External"/><Relationship Id="rId1" Type="http://schemas.openxmlformats.org/officeDocument/2006/relationships/hyperlink" Target="https://bocsar.nsw.gov.au/"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statistics/classifications/australian-and-new-zealand-standard-offence-classification-anzsoc/latest-release" TargetMode="External"/><Relationship Id="rId2" Type="http://schemas.openxmlformats.org/officeDocument/2006/relationships/hyperlink" Target="https://bocsar.nsw.gov.au/statistics-dashboards/court-and-sentencing.html" TargetMode="External"/><Relationship Id="rId1" Type="http://schemas.openxmlformats.org/officeDocument/2006/relationships/hyperlink" Target="http://www.bocsar.nsw.gov.au/"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abs.gov.au/statistics/classifications/australian-and-new-zealand-standard-offence-classification-anzsoc/latest-release" TargetMode="External"/><Relationship Id="rId1" Type="http://schemas.openxmlformats.org/officeDocument/2006/relationships/hyperlink" Target="https://www.bocsar.nsw.gov.au/Pages/bocsar_crime_stats/bocsar_crime_stat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62B57-3434-4553-8D0B-EA779FAC5D46}">
  <sheetPr>
    <pageSetUpPr autoPageBreaks="0" fitToPage="1"/>
  </sheetPr>
  <dimension ref="A1:T54"/>
  <sheetViews>
    <sheetView zoomScale="85" zoomScaleNormal="85" zoomScalePageLayoutView="80" workbookViewId="0">
      <selection activeCell="X19" sqref="X19"/>
    </sheetView>
  </sheetViews>
  <sheetFormatPr defaultColWidth="9.140625" defaultRowHeight="10.15"/>
  <cols>
    <col min="1" max="1" width="3.85546875" style="53" customWidth="1"/>
    <col min="2" max="16" width="9.140625" style="53"/>
    <col min="17" max="17" width="22.85546875" style="53" customWidth="1"/>
    <col min="18" max="16384" width="9.140625" style="53"/>
  </cols>
  <sheetData>
    <row r="1" spans="1:20">
      <c r="A1" s="74"/>
      <c r="B1" s="74"/>
      <c r="C1" s="74"/>
      <c r="D1" s="74"/>
      <c r="E1" s="74"/>
      <c r="F1" s="74"/>
      <c r="G1" s="74"/>
      <c r="H1" s="74"/>
      <c r="I1" s="74"/>
      <c r="J1" s="74"/>
      <c r="K1" s="74"/>
      <c r="L1" s="74"/>
      <c r="M1" s="74"/>
      <c r="N1" s="74"/>
      <c r="O1" s="74"/>
      <c r="P1" s="74"/>
      <c r="Q1" s="74"/>
      <c r="R1" s="73"/>
      <c r="S1" s="73"/>
      <c r="T1" s="73"/>
    </row>
    <row r="2" spans="1:20">
      <c r="A2" s="74"/>
      <c r="B2" s="74"/>
      <c r="C2" s="74"/>
      <c r="D2" s="74"/>
      <c r="E2" s="74"/>
      <c r="F2" s="74"/>
      <c r="G2" s="74"/>
      <c r="H2" s="74"/>
      <c r="I2" s="74"/>
      <c r="J2" s="74"/>
      <c r="K2" s="74"/>
      <c r="L2" s="74"/>
      <c r="M2" s="74"/>
      <c r="N2" s="74"/>
      <c r="O2" s="74"/>
      <c r="P2" s="74"/>
      <c r="Q2" s="74"/>
      <c r="R2" s="73"/>
      <c r="S2" s="73"/>
      <c r="T2" s="73"/>
    </row>
    <row r="3" spans="1:20">
      <c r="A3" s="72"/>
      <c r="B3" s="72"/>
      <c r="C3" s="72"/>
      <c r="D3" s="72"/>
      <c r="E3" s="72"/>
      <c r="F3" s="72"/>
      <c r="G3" s="72"/>
      <c r="H3" s="72"/>
      <c r="I3" s="72"/>
      <c r="J3" s="72"/>
      <c r="K3" s="72"/>
      <c r="L3" s="72"/>
      <c r="M3" s="72"/>
      <c r="N3" s="72"/>
      <c r="O3" s="72"/>
      <c r="P3" s="72"/>
      <c r="Q3" s="72"/>
      <c r="R3" s="55"/>
      <c r="S3" s="55"/>
      <c r="T3" s="55"/>
    </row>
    <row r="4" spans="1:20">
      <c r="A4" s="72"/>
      <c r="B4" s="72"/>
      <c r="C4" s="72"/>
      <c r="D4" s="72"/>
      <c r="E4" s="72"/>
      <c r="F4" s="72"/>
      <c r="G4" s="72"/>
      <c r="H4" s="72"/>
      <c r="I4" s="72"/>
      <c r="J4" s="72"/>
      <c r="K4" s="72"/>
      <c r="L4" s="72"/>
      <c r="M4" s="72"/>
      <c r="N4" s="72"/>
      <c r="O4" s="72"/>
      <c r="P4" s="72"/>
      <c r="Q4" s="72"/>
      <c r="R4" s="55"/>
      <c r="S4" s="55"/>
      <c r="T4" s="55"/>
    </row>
    <row r="5" spans="1:20">
      <c r="A5" s="72"/>
      <c r="B5" s="80"/>
      <c r="C5" s="80"/>
      <c r="D5" s="80"/>
      <c r="E5" s="80"/>
      <c r="F5" s="80"/>
      <c r="G5" s="80"/>
      <c r="H5" s="80"/>
      <c r="I5" s="80"/>
      <c r="J5" s="80"/>
      <c r="K5" s="72"/>
      <c r="L5" s="72"/>
      <c r="M5" s="72"/>
      <c r="N5" s="72"/>
      <c r="O5" s="72"/>
      <c r="P5" s="72"/>
      <c r="Q5" s="72"/>
      <c r="R5" s="55"/>
      <c r="S5" s="55"/>
      <c r="T5" s="55"/>
    </row>
    <row r="6" spans="1:20">
      <c r="A6" s="72"/>
      <c r="B6" s="80"/>
      <c r="C6" s="80"/>
      <c r="D6" s="80"/>
      <c r="E6" s="80"/>
      <c r="F6" s="80"/>
      <c r="G6" s="80"/>
      <c r="H6" s="80"/>
      <c r="I6" s="80"/>
      <c r="J6" s="80"/>
      <c r="K6" s="72"/>
      <c r="L6" s="72"/>
      <c r="M6" s="72"/>
      <c r="N6" s="72"/>
      <c r="O6" s="72"/>
      <c r="P6" s="72"/>
      <c r="Q6" s="72"/>
      <c r="R6" s="55"/>
      <c r="S6" s="55"/>
      <c r="T6" s="55"/>
    </row>
    <row r="7" spans="1:20">
      <c r="A7" s="72"/>
      <c r="B7" s="72"/>
      <c r="C7" s="72"/>
      <c r="D7" s="72"/>
      <c r="E7" s="72"/>
      <c r="F7" s="72"/>
      <c r="G7" s="72"/>
      <c r="H7" s="72"/>
      <c r="I7" s="72"/>
      <c r="J7" s="72"/>
      <c r="K7" s="72"/>
      <c r="L7" s="72"/>
      <c r="M7" s="72"/>
      <c r="N7" s="72"/>
      <c r="O7" s="72"/>
      <c r="P7" s="72"/>
      <c r="Q7" s="72"/>
      <c r="R7" s="55"/>
      <c r="S7" s="55"/>
      <c r="T7" s="55"/>
    </row>
    <row r="8" spans="1:20">
      <c r="A8" s="72"/>
      <c r="B8" s="72"/>
      <c r="C8" s="72"/>
      <c r="D8" s="72"/>
      <c r="E8" s="72"/>
      <c r="F8" s="72"/>
      <c r="G8" s="72"/>
      <c r="H8" s="72"/>
      <c r="I8" s="72"/>
      <c r="J8" s="72"/>
      <c r="K8" s="72"/>
      <c r="L8" s="72"/>
      <c r="M8" s="72"/>
      <c r="N8" s="72"/>
      <c r="O8" s="72"/>
      <c r="P8" s="72"/>
      <c r="Q8" s="72"/>
      <c r="R8" s="55"/>
      <c r="S8" s="55"/>
      <c r="T8" s="55"/>
    </row>
    <row r="9" spans="1:20">
      <c r="A9" s="69"/>
      <c r="B9" s="69"/>
      <c r="C9" s="69"/>
      <c r="D9" s="69"/>
      <c r="E9" s="69"/>
      <c r="F9" s="69"/>
      <c r="G9" s="69"/>
      <c r="H9" s="69"/>
      <c r="I9" s="69"/>
      <c r="J9" s="69"/>
      <c r="K9" s="69"/>
      <c r="L9" s="69"/>
      <c r="M9" s="69"/>
      <c r="N9" s="69"/>
      <c r="O9" s="69"/>
      <c r="P9" s="69"/>
      <c r="Q9" s="69"/>
      <c r="R9" s="68"/>
      <c r="S9" s="68"/>
      <c r="T9" s="68"/>
    </row>
    <row r="10" spans="1:20">
      <c r="A10" s="69"/>
      <c r="B10" s="69"/>
      <c r="C10" s="69"/>
      <c r="D10" s="69"/>
      <c r="E10" s="69"/>
      <c r="F10" s="69"/>
      <c r="G10" s="69"/>
      <c r="H10" s="69"/>
      <c r="I10" s="69"/>
      <c r="J10" s="69"/>
      <c r="K10" s="69"/>
      <c r="L10" s="69"/>
      <c r="M10" s="69"/>
      <c r="N10" s="69"/>
      <c r="O10" s="69"/>
      <c r="P10" s="69"/>
      <c r="Q10" s="69"/>
      <c r="R10" s="68"/>
      <c r="S10" s="68"/>
      <c r="T10" s="68"/>
    </row>
    <row r="11" spans="1:20">
      <c r="A11" s="69"/>
      <c r="B11" s="69"/>
      <c r="C11" s="69"/>
      <c r="D11" s="69"/>
      <c r="E11" s="69"/>
      <c r="F11" s="69"/>
      <c r="G11" s="69"/>
      <c r="H11" s="69"/>
      <c r="I11" s="69"/>
      <c r="J11" s="69"/>
      <c r="K11" s="69"/>
      <c r="L11" s="69"/>
      <c r="M11" s="69"/>
      <c r="N11" s="69"/>
      <c r="O11" s="69"/>
      <c r="P11" s="69"/>
      <c r="Q11" s="69"/>
      <c r="R11" s="68"/>
      <c r="S11" s="68"/>
      <c r="T11" s="68"/>
    </row>
    <row r="12" spans="1:20">
      <c r="A12" s="69"/>
      <c r="B12" s="69"/>
      <c r="C12" s="69"/>
      <c r="D12" s="69"/>
      <c r="E12" s="69"/>
      <c r="F12" s="69"/>
      <c r="G12" s="69"/>
      <c r="H12" s="69"/>
      <c r="I12" s="69"/>
      <c r="J12" s="69"/>
      <c r="K12" s="69"/>
      <c r="L12" s="69"/>
      <c r="M12" s="69"/>
      <c r="N12" s="69"/>
      <c r="O12" s="69"/>
      <c r="P12" s="69"/>
      <c r="Q12" s="69"/>
      <c r="R12" s="68"/>
      <c r="S12" s="68"/>
      <c r="T12" s="68"/>
    </row>
    <row r="13" spans="1:20">
      <c r="A13" s="69"/>
      <c r="B13" s="69"/>
      <c r="C13" s="69"/>
      <c r="D13" s="69"/>
      <c r="E13" s="69"/>
      <c r="F13" s="69"/>
      <c r="G13" s="69"/>
      <c r="H13" s="69"/>
      <c r="I13" s="69"/>
      <c r="J13" s="69"/>
      <c r="K13" s="69"/>
      <c r="L13" s="69"/>
      <c r="M13" s="69"/>
      <c r="N13" s="69"/>
      <c r="O13" s="69"/>
      <c r="P13" s="69"/>
      <c r="Q13" s="69"/>
      <c r="R13" s="68"/>
      <c r="S13" s="68"/>
      <c r="T13" s="68"/>
    </row>
    <row r="14" spans="1:20">
      <c r="A14" s="69"/>
      <c r="B14" s="69"/>
      <c r="C14" s="69"/>
      <c r="D14" s="69"/>
      <c r="E14" s="69"/>
      <c r="F14" s="69"/>
      <c r="G14" s="69"/>
      <c r="H14" s="69"/>
      <c r="I14" s="69"/>
      <c r="J14" s="69"/>
      <c r="K14" s="69"/>
      <c r="L14" s="69"/>
      <c r="M14" s="69"/>
      <c r="N14" s="69"/>
      <c r="O14" s="69"/>
      <c r="P14" s="69"/>
      <c r="Q14" s="69"/>
      <c r="R14" s="68"/>
      <c r="S14" s="68"/>
      <c r="T14" s="68"/>
    </row>
    <row r="15" spans="1:20">
      <c r="A15" s="69"/>
      <c r="B15" s="69"/>
      <c r="C15" s="69"/>
      <c r="D15" s="69"/>
      <c r="E15" s="69"/>
      <c r="F15" s="69"/>
      <c r="G15" s="69"/>
      <c r="H15" s="69"/>
      <c r="I15" s="69"/>
      <c r="J15" s="69"/>
      <c r="K15" s="69"/>
      <c r="L15" s="69"/>
      <c r="M15" s="69"/>
      <c r="N15" s="69"/>
      <c r="O15" s="69"/>
      <c r="P15" s="69"/>
      <c r="Q15" s="69"/>
      <c r="R15" s="68"/>
      <c r="S15" s="68"/>
      <c r="T15" s="68"/>
    </row>
    <row r="16" spans="1:20">
      <c r="A16" s="69"/>
      <c r="B16" s="81" t="s">
        <v>0</v>
      </c>
      <c r="C16" s="81"/>
      <c r="D16" s="81"/>
      <c r="E16" s="81"/>
      <c r="F16" s="81"/>
      <c r="G16" s="81"/>
      <c r="H16" s="81"/>
      <c r="I16" s="81"/>
      <c r="J16" s="81"/>
      <c r="K16" s="81"/>
      <c r="L16" s="81"/>
      <c r="M16" s="69"/>
      <c r="N16" s="69"/>
      <c r="O16" s="69"/>
      <c r="P16" s="69"/>
      <c r="Q16" s="69"/>
      <c r="R16" s="68"/>
      <c r="S16" s="68"/>
      <c r="T16" s="68"/>
    </row>
    <row r="17" spans="1:20">
      <c r="A17" s="69"/>
      <c r="B17" s="81"/>
      <c r="C17" s="81"/>
      <c r="D17" s="81"/>
      <c r="E17" s="81"/>
      <c r="F17" s="81"/>
      <c r="G17" s="81"/>
      <c r="H17" s="81"/>
      <c r="I17" s="81"/>
      <c r="J17" s="81"/>
      <c r="K17" s="81"/>
      <c r="L17" s="81"/>
      <c r="M17" s="69"/>
      <c r="N17" s="69"/>
      <c r="O17" s="69"/>
      <c r="P17" s="69"/>
      <c r="Q17" s="69"/>
      <c r="R17" s="68"/>
      <c r="S17" s="68"/>
      <c r="T17" s="68"/>
    </row>
    <row r="18" spans="1:20">
      <c r="A18" s="69"/>
      <c r="B18" s="81"/>
      <c r="C18" s="81"/>
      <c r="D18" s="81"/>
      <c r="E18" s="81"/>
      <c r="F18" s="81"/>
      <c r="G18" s="81"/>
      <c r="H18" s="81"/>
      <c r="I18" s="81"/>
      <c r="J18" s="81"/>
      <c r="K18" s="81"/>
      <c r="L18" s="81"/>
      <c r="M18" s="69"/>
      <c r="N18" s="69"/>
      <c r="O18" s="69"/>
      <c r="P18" s="69"/>
      <c r="Q18" s="69"/>
      <c r="R18" s="68"/>
      <c r="S18" s="68"/>
      <c r="T18" s="68"/>
    </row>
    <row r="19" spans="1:20" ht="40.5" customHeight="1">
      <c r="A19" s="69"/>
      <c r="B19" s="81"/>
      <c r="C19" s="81"/>
      <c r="D19" s="81"/>
      <c r="E19" s="81"/>
      <c r="F19" s="81"/>
      <c r="G19" s="81"/>
      <c r="H19" s="81"/>
      <c r="I19" s="81"/>
      <c r="J19" s="81"/>
      <c r="K19" s="81"/>
      <c r="L19" s="81"/>
      <c r="M19" s="69"/>
      <c r="N19" s="69"/>
      <c r="O19" s="69"/>
      <c r="P19" s="69"/>
      <c r="Q19" s="69"/>
      <c r="R19" s="68"/>
      <c r="S19" s="68"/>
      <c r="T19" s="68"/>
    </row>
    <row r="20" spans="1:20" ht="20.100000000000001" customHeight="1">
      <c r="A20" s="69"/>
      <c r="B20" s="71"/>
      <c r="C20" s="71"/>
      <c r="D20" s="71"/>
      <c r="E20" s="71"/>
      <c r="F20" s="71"/>
      <c r="G20" s="71"/>
      <c r="H20" s="71"/>
      <c r="I20" s="71"/>
      <c r="J20" s="71"/>
      <c r="K20" s="71"/>
      <c r="L20" s="69"/>
      <c r="M20" s="69"/>
      <c r="N20" s="69"/>
      <c r="O20" s="69"/>
      <c r="P20" s="69"/>
      <c r="Q20" s="69"/>
      <c r="R20" s="68"/>
      <c r="S20" s="68"/>
      <c r="T20" s="68"/>
    </row>
    <row r="21" spans="1:20" ht="22.15">
      <c r="A21" s="69"/>
      <c r="B21" s="70" t="s">
        <v>1</v>
      </c>
      <c r="C21" s="69"/>
      <c r="D21" s="69"/>
      <c r="E21" s="69"/>
      <c r="F21" s="69"/>
      <c r="G21" s="69"/>
      <c r="H21" s="69"/>
      <c r="I21" s="69"/>
      <c r="J21" s="69"/>
      <c r="K21" s="69"/>
      <c r="L21" s="69"/>
      <c r="M21" s="69"/>
      <c r="N21" s="69"/>
      <c r="O21" s="69"/>
      <c r="P21" s="69"/>
      <c r="Q21" s="69"/>
      <c r="R21" s="68"/>
      <c r="S21" s="68"/>
      <c r="T21" s="68"/>
    </row>
    <row r="22" spans="1:20">
      <c r="A22" s="69"/>
      <c r="B22" s="69"/>
      <c r="C22" s="69"/>
      <c r="D22" s="69"/>
      <c r="E22" s="69"/>
      <c r="F22" s="69"/>
      <c r="G22" s="69"/>
      <c r="H22" s="69"/>
      <c r="I22" s="69"/>
      <c r="J22" s="69"/>
      <c r="K22" s="69"/>
      <c r="L22" s="69"/>
      <c r="M22" s="69"/>
      <c r="N22" s="69"/>
      <c r="O22" s="69"/>
      <c r="P22" s="69"/>
      <c r="Q22" s="69"/>
      <c r="R22" s="68"/>
      <c r="S22" s="68"/>
      <c r="T22" s="68"/>
    </row>
    <row r="23" spans="1:20">
      <c r="A23" s="69"/>
      <c r="B23" s="69"/>
      <c r="C23" s="69"/>
      <c r="D23" s="69"/>
      <c r="E23" s="69"/>
      <c r="F23" s="69"/>
      <c r="G23" s="69"/>
      <c r="H23" s="69"/>
      <c r="I23" s="69"/>
      <c r="J23" s="69"/>
      <c r="K23" s="69"/>
      <c r="L23" s="69"/>
      <c r="M23" s="69"/>
      <c r="N23" s="69"/>
      <c r="O23" s="69"/>
      <c r="P23" s="69"/>
      <c r="Q23" s="69"/>
      <c r="R23" s="68"/>
      <c r="S23" s="68"/>
      <c r="T23" s="68"/>
    </row>
    <row r="24" spans="1:20">
      <c r="A24" s="69"/>
      <c r="B24" s="68"/>
      <c r="C24" s="69"/>
      <c r="D24" s="69"/>
      <c r="E24" s="69"/>
      <c r="F24" s="69"/>
      <c r="G24" s="69"/>
      <c r="H24" s="69"/>
      <c r="I24" s="69"/>
      <c r="J24" s="69"/>
      <c r="K24" s="69"/>
      <c r="L24" s="69"/>
      <c r="M24" s="69"/>
      <c r="N24" s="69"/>
      <c r="O24" s="69"/>
      <c r="P24" s="69"/>
      <c r="Q24" s="69"/>
      <c r="R24" s="68"/>
      <c r="S24" s="68"/>
      <c r="T24" s="68"/>
    </row>
    <row r="25" spans="1:20">
      <c r="A25" s="69"/>
      <c r="B25" s="69"/>
      <c r="C25" s="69"/>
      <c r="D25" s="69"/>
      <c r="E25" s="69"/>
      <c r="F25" s="69"/>
      <c r="G25" s="69"/>
      <c r="H25" s="69"/>
      <c r="I25" s="69"/>
      <c r="J25" s="69"/>
      <c r="K25" s="69"/>
      <c r="L25" s="69"/>
      <c r="M25" s="69"/>
      <c r="N25" s="69"/>
      <c r="O25" s="69"/>
      <c r="P25" s="69"/>
      <c r="Q25" s="69"/>
      <c r="R25" s="68"/>
      <c r="S25" s="68"/>
      <c r="T25" s="68"/>
    </row>
    <row r="26" spans="1:20">
      <c r="A26" s="69"/>
      <c r="B26" s="69"/>
      <c r="C26" s="69"/>
      <c r="D26" s="69"/>
      <c r="E26" s="69"/>
      <c r="F26" s="69"/>
      <c r="G26" s="69"/>
      <c r="H26" s="69"/>
      <c r="I26" s="69"/>
      <c r="J26" s="69"/>
      <c r="K26" s="69"/>
      <c r="L26" s="69"/>
      <c r="M26" s="69"/>
      <c r="N26" s="69"/>
      <c r="O26" s="69"/>
      <c r="P26" s="69"/>
      <c r="Q26" s="69"/>
      <c r="R26" s="68"/>
      <c r="S26" s="68"/>
      <c r="T26" s="68"/>
    </row>
    <row r="27" spans="1:20">
      <c r="A27" s="69"/>
      <c r="B27" s="69"/>
      <c r="C27" s="69"/>
      <c r="D27" s="69"/>
      <c r="E27" s="69"/>
      <c r="F27" s="69"/>
      <c r="G27" s="69"/>
      <c r="H27" s="69"/>
      <c r="I27" s="69"/>
      <c r="J27" s="69"/>
      <c r="K27" s="69"/>
      <c r="L27" s="69"/>
      <c r="M27" s="69"/>
      <c r="N27" s="69"/>
      <c r="O27" s="69"/>
      <c r="P27" s="69"/>
      <c r="Q27" s="69"/>
      <c r="R27" s="68"/>
      <c r="S27" s="68"/>
      <c r="T27" s="68"/>
    </row>
    <row r="28" spans="1:20">
      <c r="A28" s="69"/>
      <c r="B28" s="69"/>
      <c r="C28" s="69"/>
      <c r="D28" s="69"/>
      <c r="E28" s="69"/>
      <c r="F28" s="69"/>
      <c r="G28" s="69"/>
      <c r="H28" s="69"/>
      <c r="I28" s="69"/>
      <c r="J28" s="69"/>
      <c r="K28" s="69"/>
      <c r="L28" s="69"/>
      <c r="M28" s="69"/>
      <c r="N28" s="69"/>
      <c r="O28" s="69"/>
      <c r="P28" s="69"/>
      <c r="Q28" s="69"/>
      <c r="R28" s="68"/>
      <c r="S28" s="68"/>
      <c r="T28" s="68"/>
    </row>
    <row r="29" spans="1:20" ht="30" customHeight="1">
      <c r="A29" s="69"/>
      <c r="B29" s="82" t="s">
        <v>2</v>
      </c>
      <c r="C29" s="82"/>
      <c r="D29" s="82"/>
      <c r="E29" s="82"/>
      <c r="F29" s="69"/>
      <c r="G29" s="69"/>
      <c r="H29" s="69"/>
      <c r="I29" s="69"/>
      <c r="J29" s="69"/>
      <c r="K29" s="69"/>
      <c r="L29" s="69"/>
      <c r="M29" s="69"/>
      <c r="N29" s="69"/>
      <c r="O29" s="69"/>
      <c r="P29" s="69"/>
      <c r="Q29" s="69"/>
      <c r="R29" s="68"/>
      <c r="S29" s="68"/>
      <c r="T29" s="68"/>
    </row>
    <row r="30" spans="1:20">
      <c r="A30" s="69"/>
      <c r="B30" s="69"/>
      <c r="C30" s="69"/>
      <c r="D30" s="69"/>
      <c r="E30" s="69"/>
      <c r="F30" s="69"/>
      <c r="G30" s="69"/>
      <c r="H30" s="69"/>
      <c r="I30" s="69"/>
      <c r="J30" s="69"/>
      <c r="K30" s="69"/>
      <c r="L30" s="69"/>
      <c r="M30" s="69"/>
      <c r="N30" s="69"/>
      <c r="O30" s="69"/>
      <c r="P30" s="69"/>
      <c r="Q30" s="69"/>
      <c r="R30" s="68"/>
      <c r="S30" s="68"/>
      <c r="T30" s="68"/>
    </row>
    <row r="31" spans="1:20">
      <c r="A31" s="69"/>
      <c r="B31" s="69"/>
      <c r="C31" s="69"/>
      <c r="D31" s="69"/>
      <c r="E31" s="69"/>
      <c r="F31" s="69"/>
      <c r="G31" s="69"/>
      <c r="H31" s="69"/>
      <c r="I31" s="69"/>
      <c r="J31" s="69"/>
      <c r="K31" s="69"/>
      <c r="L31" s="69"/>
      <c r="M31" s="69"/>
      <c r="N31" s="69"/>
      <c r="O31" s="69"/>
      <c r="P31" s="69"/>
      <c r="Q31" s="69"/>
      <c r="R31" s="68"/>
      <c r="S31" s="68"/>
      <c r="T31" s="68"/>
    </row>
    <row r="32" spans="1:20">
      <c r="A32" s="69"/>
      <c r="B32" s="69"/>
      <c r="C32" s="69"/>
      <c r="D32" s="69"/>
      <c r="E32" s="69"/>
      <c r="F32" s="69"/>
      <c r="G32" s="69"/>
      <c r="H32" s="69"/>
      <c r="I32" s="69"/>
      <c r="J32" s="69"/>
      <c r="K32" s="69"/>
      <c r="L32" s="69"/>
      <c r="M32" s="69"/>
      <c r="N32" s="69"/>
      <c r="O32" s="69"/>
      <c r="P32" s="69"/>
      <c r="Q32" s="69"/>
      <c r="R32" s="68"/>
      <c r="S32" s="68"/>
      <c r="T32" s="68"/>
    </row>
    <row r="33" spans="1:20">
      <c r="A33" s="69"/>
      <c r="B33" s="69"/>
      <c r="C33" s="69"/>
      <c r="D33" s="69"/>
      <c r="E33" s="69"/>
      <c r="F33" s="69"/>
      <c r="G33" s="69"/>
      <c r="H33" s="69"/>
      <c r="I33" s="69"/>
      <c r="J33" s="69"/>
      <c r="K33" s="69"/>
      <c r="L33" s="69"/>
      <c r="M33" s="69"/>
      <c r="N33" s="69"/>
      <c r="O33" s="69"/>
      <c r="P33" s="69"/>
      <c r="Q33" s="69"/>
      <c r="R33" s="68"/>
      <c r="S33" s="68"/>
      <c r="T33" s="68"/>
    </row>
    <row r="34" spans="1:20" ht="12.75">
      <c r="A34" s="60"/>
      <c r="B34" s="60"/>
      <c r="C34" s="60"/>
      <c r="D34" s="60"/>
      <c r="E34" s="60"/>
      <c r="F34" s="60"/>
      <c r="G34" s="60"/>
      <c r="H34" s="60"/>
      <c r="I34" s="60"/>
      <c r="J34" s="60"/>
      <c r="K34" s="60"/>
      <c r="L34" s="60"/>
      <c r="M34" s="60"/>
      <c r="N34" s="60"/>
      <c r="O34" s="60"/>
      <c r="P34" s="60"/>
      <c r="Q34" s="60"/>
      <c r="R34" s="55"/>
      <c r="S34" s="55"/>
      <c r="T34" s="55"/>
    </row>
    <row r="35" spans="1:20" ht="12.75">
      <c r="A35" s="60"/>
      <c r="B35" s="60"/>
      <c r="C35" s="60"/>
      <c r="D35" s="60"/>
      <c r="E35" s="60"/>
      <c r="F35" s="60"/>
      <c r="G35" s="60"/>
      <c r="H35" s="60"/>
      <c r="I35" s="60"/>
      <c r="J35" s="60"/>
      <c r="K35" s="60"/>
      <c r="L35" s="60"/>
      <c r="M35" s="60"/>
      <c r="N35" s="60"/>
      <c r="O35" s="60"/>
      <c r="P35" s="60"/>
      <c r="Q35" s="60"/>
      <c r="R35" s="55"/>
      <c r="S35" s="55"/>
      <c r="T35" s="55"/>
    </row>
    <row r="36" spans="1:20" ht="12.75">
      <c r="A36" s="60"/>
      <c r="B36" s="60"/>
      <c r="C36" s="60"/>
      <c r="D36" s="60"/>
      <c r="E36" s="60"/>
      <c r="F36" s="60"/>
      <c r="G36" s="60"/>
      <c r="H36" s="60"/>
      <c r="I36" s="60"/>
      <c r="J36" s="60"/>
      <c r="K36" s="60"/>
      <c r="L36" s="60"/>
      <c r="M36" s="60"/>
      <c r="N36" s="60"/>
      <c r="O36" s="60"/>
      <c r="P36" s="60"/>
      <c r="Q36" s="60"/>
      <c r="R36" s="55"/>
      <c r="S36" s="55"/>
      <c r="T36" s="55"/>
    </row>
    <row r="37" spans="1:20" ht="12.75">
      <c r="A37" s="60"/>
      <c r="B37" s="60"/>
      <c r="C37" s="60"/>
      <c r="D37" s="60"/>
      <c r="E37" s="60"/>
      <c r="F37" s="60"/>
      <c r="G37" s="60"/>
      <c r="H37" s="60"/>
      <c r="I37" s="60"/>
      <c r="J37" s="60"/>
      <c r="K37" s="60"/>
      <c r="L37" s="60"/>
      <c r="M37" s="60"/>
      <c r="N37" s="60"/>
      <c r="O37" s="60"/>
      <c r="P37" s="60"/>
      <c r="Q37" s="60"/>
      <c r="R37" s="55"/>
      <c r="S37" s="55"/>
      <c r="T37" s="55"/>
    </row>
    <row r="38" spans="1:20" ht="12.75">
      <c r="A38" s="60"/>
      <c r="B38" s="60"/>
      <c r="C38" s="60"/>
      <c r="D38" s="60"/>
      <c r="E38" s="60"/>
      <c r="F38" s="60"/>
      <c r="G38" s="60"/>
      <c r="H38" s="60"/>
      <c r="I38" s="60"/>
      <c r="J38" s="60"/>
      <c r="K38" s="60"/>
      <c r="L38" s="60"/>
      <c r="M38" s="60"/>
      <c r="N38" s="60"/>
      <c r="O38" s="60"/>
      <c r="P38" s="60"/>
      <c r="Q38" s="60"/>
      <c r="R38" s="55"/>
      <c r="S38" s="55"/>
      <c r="T38" s="55"/>
    </row>
    <row r="39" spans="1:20" ht="12.75">
      <c r="A39" s="60"/>
      <c r="B39" s="60"/>
      <c r="C39" s="60"/>
      <c r="D39" s="60"/>
      <c r="E39" s="60"/>
      <c r="F39" s="60"/>
      <c r="G39" s="60"/>
      <c r="H39" s="60"/>
      <c r="I39" s="60"/>
      <c r="J39" s="60"/>
      <c r="K39" s="60"/>
      <c r="L39" s="60"/>
      <c r="M39" s="60"/>
      <c r="N39" s="60"/>
      <c r="O39" s="60"/>
      <c r="P39" s="60"/>
      <c r="Q39" s="60"/>
      <c r="R39" s="55"/>
      <c r="S39" s="55"/>
      <c r="T39" s="55"/>
    </row>
    <row r="40" spans="1:20" ht="12.75">
      <c r="A40" s="60"/>
      <c r="B40" s="60"/>
      <c r="C40" s="60"/>
      <c r="D40" s="60"/>
      <c r="E40" s="60"/>
      <c r="F40" s="60"/>
      <c r="G40" s="60"/>
      <c r="H40" s="60"/>
      <c r="I40" s="60"/>
      <c r="J40" s="60"/>
      <c r="K40" s="60"/>
      <c r="L40" s="60"/>
      <c r="M40" s="60"/>
      <c r="N40" s="60"/>
      <c r="O40" s="60"/>
      <c r="P40" s="60"/>
      <c r="Q40" s="60"/>
      <c r="R40" s="55"/>
      <c r="S40" s="55"/>
      <c r="T40" s="55"/>
    </row>
    <row r="41" spans="1:20" ht="15">
      <c r="A41" s="60"/>
      <c r="B41" s="63" t="s">
        <v>3</v>
      </c>
      <c r="C41" s="63"/>
      <c r="D41" s="63"/>
      <c r="E41" s="60"/>
      <c r="F41" s="60"/>
      <c r="G41" s="60"/>
      <c r="H41" s="60"/>
      <c r="I41" s="60"/>
      <c r="J41" s="60"/>
      <c r="K41" s="60"/>
      <c r="L41" s="60"/>
      <c r="M41" s="60"/>
      <c r="N41" s="60"/>
      <c r="O41" s="60"/>
      <c r="P41" s="60"/>
      <c r="Q41" s="60"/>
      <c r="R41" s="55"/>
      <c r="S41" s="55"/>
      <c r="T41" s="55"/>
    </row>
    <row r="42" spans="1:20" ht="15">
      <c r="A42" s="60"/>
      <c r="B42" s="63"/>
      <c r="C42" s="63"/>
      <c r="D42" s="63"/>
      <c r="E42" s="60"/>
      <c r="F42" s="60"/>
      <c r="G42" s="60"/>
      <c r="H42" s="60"/>
      <c r="I42" s="60"/>
      <c r="J42" s="60"/>
      <c r="K42" s="60"/>
      <c r="L42" s="60"/>
      <c r="M42" s="60"/>
      <c r="N42" s="60"/>
      <c r="O42" s="60"/>
      <c r="P42" s="60"/>
      <c r="Q42" s="60"/>
      <c r="R42" s="55"/>
      <c r="S42" s="55"/>
      <c r="T42" s="55"/>
    </row>
    <row r="43" spans="1:20" ht="15">
      <c r="A43" s="60"/>
      <c r="B43" s="65" t="s">
        <v>4</v>
      </c>
      <c r="C43" s="67" t="s">
        <v>5</v>
      </c>
      <c r="D43" s="66"/>
      <c r="E43" s="60"/>
      <c r="F43" s="60"/>
      <c r="G43" s="60"/>
      <c r="H43" s="60"/>
      <c r="I43" s="60"/>
      <c r="J43" s="60"/>
      <c r="K43" s="60"/>
      <c r="L43" s="60"/>
      <c r="M43" s="60"/>
      <c r="N43" s="60"/>
      <c r="O43" s="60"/>
      <c r="P43" s="60"/>
      <c r="Q43" s="60"/>
      <c r="R43" s="55"/>
      <c r="S43" s="55"/>
      <c r="T43" s="55"/>
    </row>
    <row r="44" spans="1:20" ht="15">
      <c r="A44" s="60"/>
      <c r="B44" s="65"/>
      <c r="C44" s="63"/>
      <c r="D44" s="63"/>
      <c r="E44" s="60"/>
      <c r="F44" s="60"/>
      <c r="G44" s="60"/>
      <c r="H44" s="60"/>
      <c r="I44" s="60"/>
      <c r="J44" s="60"/>
      <c r="K44" s="60"/>
      <c r="L44" s="60"/>
      <c r="M44" s="60"/>
      <c r="N44" s="60"/>
      <c r="O44" s="60"/>
      <c r="P44" s="60"/>
      <c r="Q44" s="60"/>
      <c r="R44" s="55"/>
      <c r="S44" s="55"/>
      <c r="T44" s="55"/>
    </row>
    <row r="45" spans="1:20" ht="15">
      <c r="A45" s="60"/>
      <c r="B45" s="65" t="s">
        <v>6</v>
      </c>
      <c r="C45" s="64" t="s">
        <v>7</v>
      </c>
      <c r="D45" s="63"/>
      <c r="E45" s="60"/>
      <c r="F45" s="60"/>
      <c r="G45" s="60"/>
      <c r="H45" s="60"/>
      <c r="I45" s="60"/>
      <c r="J45" s="60"/>
      <c r="K45" s="60"/>
      <c r="L45" s="60"/>
      <c r="M45" s="60"/>
      <c r="N45" s="60"/>
      <c r="O45" s="60"/>
      <c r="P45" s="60"/>
      <c r="Q45" s="60"/>
      <c r="R45" s="55"/>
      <c r="S45" s="55"/>
      <c r="T45" s="55"/>
    </row>
    <row r="46" spans="1:20" ht="13.9">
      <c r="A46" s="60"/>
      <c r="B46" s="62"/>
      <c r="C46" s="59"/>
      <c r="D46" s="59"/>
      <c r="E46" s="59"/>
      <c r="F46" s="60"/>
      <c r="G46" s="60"/>
      <c r="H46" s="60"/>
      <c r="I46" s="60"/>
      <c r="J46" s="60"/>
      <c r="K46" s="60"/>
      <c r="L46" s="60"/>
      <c r="M46" s="60"/>
      <c r="N46" s="60"/>
      <c r="O46" s="60"/>
      <c r="P46" s="60"/>
      <c r="Q46" s="60"/>
      <c r="R46" s="55"/>
      <c r="S46" s="55"/>
      <c r="T46" s="55"/>
    </row>
    <row r="47" spans="1:20" ht="12.75">
      <c r="A47" s="60"/>
      <c r="B47" s="56"/>
      <c r="C47" s="56"/>
      <c r="D47" s="56"/>
      <c r="E47" s="56"/>
      <c r="F47" s="60"/>
      <c r="G47" s="60"/>
      <c r="H47" s="60"/>
      <c r="I47" s="60"/>
      <c r="J47" s="60"/>
      <c r="K47" s="60"/>
      <c r="L47" s="60"/>
      <c r="M47" s="60"/>
      <c r="N47" s="60"/>
      <c r="O47" s="60"/>
      <c r="P47" s="60"/>
      <c r="Q47" s="60"/>
      <c r="R47" s="55"/>
      <c r="S47" s="55"/>
      <c r="T47" s="55"/>
    </row>
    <row r="48" spans="1:20" ht="17.649999999999999">
      <c r="A48" s="60"/>
      <c r="B48" s="61" t="s">
        <v>8</v>
      </c>
      <c r="C48" s="56"/>
      <c r="D48" s="56"/>
      <c r="E48" s="56"/>
      <c r="F48" s="60"/>
      <c r="G48" s="60"/>
      <c r="H48" s="60"/>
      <c r="I48" s="60"/>
      <c r="J48" s="60"/>
      <c r="K48" s="60"/>
      <c r="L48" s="60"/>
      <c r="M48" s="60"/>
      <c r="N48" s="60"/>
      <c r="O48" s="60"/>
      <c r="P48" s="60"/>
      <c r="Q48" s="60"/>
      <c r="R48" s="55"/>
      <c r="S48" s="55"/>
      <c r="T48" s="55"/>
    </row>
    <row r="49" spans="1:20" ht="13.5">
      <c r="A49" s="56"/>
      <c r="B49" s="55"/>
      <c r="C49" s="55"/>
      <c r="D49" s="55"/>
      <c r="E49" s="55"/>
      <c r="F49" s="59"/>
      <c r="G49" s="56"/>
      <c r="H49" s="56"/>
      <c r="I49" s="56"/>
      <c r="J49" s="56"/>
      <c r="K49" s="56"/>
      <c r="L49" s="56"/>
      <c r="M49" s="56"/>
      <c r="N49" s="56"/>
      <c r="O49" s="56"/>
      <c r="P49" s="56"/>
      <c r="Q49" s="56"/>
      <c r="R49" s="55"/>
      <c r="S49" s="55"/>
      <c r="T49" s="55"/>
    </row>
    <row r="50" spans="1:20">
      <c r="A50" s="56"/>
      <c r="B50" s="55"/>
      <c r="C50" s="55"/>
      <c r="D50" s="55"/>
      <c r="E50" s="55"/>
      <c r="F50" s="56"/>
      <c r="G50" s="56"/>
      <c r="H50" s="56"/>
      <c r="I50" s="56"/>
      <c r="J50" s="56"/>
      <c r="K50" s="56"/>
      <c r="L50" s="56"/>
      <c r="M50" s="56"/>
      <c r="N50" s="56"/>
      <c r="O50" s="56"/>
      <c r="P50" s="56"/>
      <c r="Q50" s="56"/>
      <c r="R50" s="55"/>
      <c r="S50" s="55"/>
      <c r="T50" s="55"/>
    </row>
    <row r="51" spans="1:20" ht="10.5" thickBot="1">
      <c r="A51" s="58"/>
      <c r="B51" s="57"/>
      <c r="C51" s="57"/>
      <c r="D51" s="57"/>
      <c r="E51" s="57"/>
      <c r="F51" s="58"/>
      <c r="G51" s="58"/>
      <c r="H51" s="58"/>
      <c r="I51" s="58"/>
      <c r="J51" s="58"/>
      <c r="K51" s="58"/>
      <c r="L51" s="58"/>
      <c r="M51" s="58"/>
      <c r="N51" s="58"/>
      <c r="O51" s="58"/>
      <c r="P51" s="58"/>
      <c r="Q51" s="58"/>
      <c r="R51" s="57"/>
      <c r="S51" s="57"/>
      <c r="T51" s="57"/>
    </row>
    <row r="52" spans="1:20" ht="10.5" thickTop="1">
      <c r="A52" s="56"/>
      <c r="B52" s="56"/>
      <c r="C52" s="56"/>
      <c r="D52" s="56"/>
      <c r="E52" s="56"/>
      <c r="F52" s="56"/>
      <c r="G52" s="56"/>
      <c r="H52" s="56"/>
      <c r="I52" s="56"/>
      <c r="J52" s="56"/>
      <c r="K52" s="56"/>
      <c r="L52" s="56"/>
      <c r="M52" s="56"/>
      <c r="N52" s="56"/>
      <c r="O52" s="56"/>
      <c r="P52" s="56"/>
      <c r="Q52" s="56"/>
      <c r="R52" s="55"/>
      <c r="S52" s="55"/>
      <c r="T52" s="55"/>
    </row>
    <row r="53" spans="1:20">
      <c r="A53" s="56"/>
      <c r="B53" s="56"/>
      <c r="C53" s="56"/>
      <c r="D53" s="56"/>
      <c r="E53" s="56"/>
      <c r="F53" s="56"/>
      <c r="G53" s="56"/>
      <c r="H53" s="56"/>
      <c r="I53" s="56"/>
      <c r="J53" s="56"/>
      <c r="K53" s="56"/>
      <c r="L53" s="56"/>
      <c r="M53" s="56"/>
      <c r="N53" s="56"/>
      <c r="O53" s="56"/>
      <c r="P53" s="56"/>
      <c r="Q53" s="56"/>
      <c r="R53" s="55"/>
      <c r="S53" s="55"/>
      <c r="T53" s="55"/>
    </row>
    <row r="54" spans="1:20">
      <c r="A54" s="54"/>
      <c r="B54" s="54"/>
      <c r="C54" s="54"/>
      <c r="D54" s="54"/>
      <c r="E54" s="54"/>
      <c r="F54" s="54"/>
      <c r="G54" s="54"/>
      <c r="H54" s="54"/>
      <c r="I54" s="54"/>
      <c r="J54" s="54"/>
      <c r="K54" s="54"/>
      <c r="L54" s="54"/>
      <c r="M54" s="54"/>
      <c r="N54" s="54"/>
      <c r="O54" s="54"/>
      <c r="P54" s="54"/>
      <c r="Q54" s="54"/>
    </row>
  </sheetData>
  <mergeCells count="3">
    <mergeCell ref="B5:J6"/>
    <mergeCell ref="B16:L19"/>
    <mergeCell ref="B29:E29"/>
  </mergeCells>
  <hyperlinks>
    <hyperlink ref="B48" r:id="rId1" xr:uid="{B3DA32AA-4607-492A-BF01-19369D2F6094}"/>
    <hyperlink ref="B29" location="'Table Of Contents'!A1" display="Table of Contents" xr:uid="{B435B940-B382-4665-97D3-EF5984546AEE}"/>
    <hyperlink ref="C43" r:id="rId2" xr:uid="{91171AA6-3AC1-4481-BE66-8EC31AA733A6}"/>
    <hyperlink ref="C43:D43" r:id="rId3" display="bcsr@dcj.nsw.gov.au" xr:uid="{C89A9F23-93EB-47A6-9A10-B7FCBDFF4D6E}"/>
    <hyperlink ref="B29:E29" location="'Table Of Contents'!A2" display="&gt;  Table of Contents" xr:uid="{8ADCF3BC-1672-432F-A903-0453E93046C8}"/>
  </hyperlinks>
  <pageMargins left="0.39370078740157483" right="0.39370078740157483" top="0.59055118110236227" bottom="0.59055118110236227" header="0.39370078740157483" footer="0.39370078740157483"/>
  <pageSetup paperSize="9" scale="84" orientation="landscape"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39"/>
  <sheetViews>
    <sheetView zoomScaleNormal="100" workbookViewId="0">
      <selection activeCell="K6" sqref="K6"/>
    </sheetView>
  </sheetViews>
  <sheetFormatPr defaultColWidth="9.140625" defaultRowHeight="14.25"/>
  <cols>
    <col min="1" max="1" width="27.140625" style="4" customWidth="1"/>
    <col min="2" max="2" width="2.28515625" style="4" customWidth="1"/>
    <col min="3" max="16384" width="9.140625" style="4"/>
  </cols>
  <sheetData>
    <row r="1" spans="1:19" ht="15.4">
      <c r="A1" s="1" t="str">
        <f>"NSW Criminal Courts Statistics July " &amp; C2-5 &amp; " to June "&amp;C2</f>
        <v>NSW Criminal Courts Statistics July 2020 to June 2025</v>
      </c>
      <c r="B1" s="2"/>
      <c r="C1" s="2"/>
      <c r="D1" s="2"/>
      <c r="E1" s="2"/>
      <c r="F1" s="2"/>
      <c r="G1" s="2"/>
      <c r="H1" s="3"/>
    </row>
    <row r="2" spans="1:19">
      <c r="B2" s="2"/>
      <c r="C2" s="39">
        <v>2025</v>
      </c>
      <c r="D2" s="39" t="str">
        <f>"June "&amp;C$2</f>
        <v>June 2025</v>
      </c>
      <c r="E2" s="2"/>
      <c r="F2" s="2"/>
      <c r="G2" s="2"/>
      <c r="H2" s="3"/>
    </row>
    <row r="3" spans="1:19" ht="73.900000000000006" customHeight="1">
      <c r="A3" s="35" t="s">
        <v>9</v>
      </c>
      <c r="B3" s="76"/>
      <c r="C3" s="83" t="s">
        <v>10</v>
      </c>
      <c r="D3" s="83"/>
      <c r="E3" s="83"/>
      <c r="F3" s="83"/>
      <c r="G3" s="83"/>
      <c r="H3" s="83"/>
      <c r="I3" s="83"/>
      <c r="J3" s="83"/>
      <c r="K3" s="83"/>
      <c r="L3" s="83"/>
      <c r="M3" s="83"/>
      <c r="N3" s="83"/>
      <c r="O3" s="83"/>
      <c r="P3" s="83"/>
      <c r="Q3" s="83"/>
      <c r="R3" s="83"/>
    </row>
    <row r="4" spans="1:19">
      <c r="A4" s="76"/>
      <c r="B4" s="76"/>
      <c r="C4" s="22" t="str">
        <f>"July " &amp; C2-5 &amp; " to June "&amp;C2-4</f>
        <v>July 2020 to June 2021</v>
      </c>
      <c r="D4" s="22" t="str">
        <f>"July " &amp; C2-4 &amp; " to June "&amp;C2-3</f>
        <v>July 2021 to June 2022</v>
      </c>
      <c r="E4" s="22" t="str">
        <f>"July " &amp; C2-3 &amp; " to June "&amp;C2-2</f>
        <v>July 2022 to June 2023</v>
      </c>
      <c r="F4" s="22" t="str">
        <f>"July " &amp; C2-2 &amp; " to June "&amp;C2-1</f>
        <v>July 2023 to June 2024</v>
      </c>
      <c r="G4" s="22" t="str">
        <f>"July " &amp; C2-1 &amp; " to June "&amp;C2</f>
        <v>July 2024 to June 2025</v>
      </c>
      <c r="H4" s="22" t="str">
        <f>"July " &amp;$C2-5 &amp; " - June " &amp; $C2</f>
        <v>July 2020 - June 2025</v>
      </c>
      <c r="I4" s="22"/>
      <c r="J4" s="22"/>
      <c r="K4" s="40"/>
      <c r="L4" s="40"/>
    </row>
    <row r="5" spans="1:19" s="5" customFormat="1" ht="19.5" customHeight="1">
      <c r="A5" s="1" t="s">
        <v>11</v>
      </c>
      <c r="B5" s="6"/>
      <c r="C5" s="75"/>
      <c r="D5" s="75"/>
      <c r="E5" s="75"/>
      <c r="F5" s="75"/>
      <c r="G5" s="75"/>
      <c r="H5" s="75"/>
      <c r="I5" s="75"/>
      <c r="J5" s="75"/>
      <c r="K5" s="75"/>
      <c r="L5" s="75"/>
      <c r="M5" s="75"/>
      <c r="N5" s="75"/>
      <c r="O5" s="75"/>
      <c r="P5" s="75"/>
      <c r="Q5" s="75"/>
      <c r="R5" s="75"/>
      <c r="S5" s="76"/>
    </row>
    <row r="6" spans="1:19" ht="15" customHeight="1"/>
    <row r="7" spans="1:19" s="5" customFormat="1" ht="15.75" customHeight="1">
      <c r="A7" s="76"/>
      <c r="B7" s="76"/>
      <c r="C7" s="34" t="s">
        <v>12</v>
      </c>
      <c r="D7" s="76"/>
      <c r="E7" s="76"/>
      <c r="F7" s="76"/>
      <c r="G7" s="76"/>
      <c r="H7" s="76"/>
      <c r="I7" s="76"/>
      <c r="J7" s="76"/>
      <c r="K7" s="76"/>
      <c r="L7" s="76"/>
      <c r="M7" s="76"/>
      <c r="N7" s="76"/>
      <c r="O7" s="76"/>
      <c r="P7" s="76"/>
      <c r="Q7" s="76"/>
      <c r="R7" s="76"/>
      <c r="S7" s="76"/>
    </row>
    <row r="8" spans="1:19" s="5" customFormat="1" ht="15" customHeight="1">
      <c r="A8" s="85" t="s">
        <v>13</v>
      </c>
      <c r="B8" s="17"/>
      <c r="C8" s="36">
        <v>1</v>
      </c>
      <c r="D8" s="7" t="str">
        <f>"Summary characteristics of defendants with a finalised court appearance by court level, " &amp; H4</f>
        <v>Summary characteristics of defendants with a finalised court appearance by court level, July 2020 - June 2025</v>
      </c>
      <c r="E8" s="8"/>
      <c r="F8" s="8"/>
      <c r="G8" s="8"/>
      <c r="H8" s="8"/>
      <c r="I8" s="8"/>
      <c r="J8" s="8"/>
      <c r="K8" s="76"/>
      <c r="L8" s="76"/>
      <c r="M8" s="76"/>
      <c r="N8" s="76"/>
      <c r="O8" s="76"/>
      <c r="P8" s="76"/>
      <c r="Q8" s="76"/>
      <c r="R8" s="76"/>
      <c r="S8" s="76"/>
    </row>
    <row r="9" spans="1:19" s="5" customFormat="1" ht="15" customHeight="1">
      <c r="A9" s="85"/>
      <c r="B9" s="17"/>
      <c r="C9" s="36">
        <v>2</v>
      </c>
      <c r="D9" s="7" t="str">
        <f>"Charges and defendants charged in finalised court appearances by court level and type of offence, " &amp; H4</f>
        <v>Charges and defendants charged in finalised court appearances by court level and type of offence, July 2020 - June 2025</v>
      </c>
      <c r="E9" s="8"/>
      <c r="F9" s="8"/>
      <c r="G9" s="8"/>
      <c r="H9" s="8"/>
      <c r="I9" s="8"/>
      <c r="J9" s="8"/>
      <c r="K9" s="76"/>
      <c r="L9" s="76"/>
      <c r="M9" s="76"/>
      <c r="N9" s="76"/>
      <c r="O9" s="76"/>
      <c r="P9" s="76"/>
      <c r="Q9" s="76"/>
      <c r="R9" s="76"/>
      <c r="S9" s="76"/>
    </row>
    <row r="10" spans="1:19" s="5" customFormat="1" ht="15" customHeight="1">
      <c r="A10" s="85"/>
      <c r="B10" s="17"/>
      <c r="C10" s="36">
        <v>3</v>
      </c>
      <c r="D10" s="7" t="str">
        <f>"Defendants charged in finalised court appearances by outcome of appearance and court level, " &amp; H4</f>
        <v>Defendants charged in finalised court appearances by outcome of appearance and court level, July 2020 - June 2025</v>
      </c>
      <c r="E10" s="8"/>
      <c r="F10" s="8"/>
      <c r="G10" s="8"/>
      <c r="H10" s="8"/>
      <c r="I10" s="8"/>
      <c r="J10" s="8"/>
      <c r="K10" s="76"/>
      <c r="L10" s="76"/>
      <c r="M10" s="76"/>
      <c r="N10" s="76"/>
      <c r="O10" s="76"/>
      <c r="P10" s="76"/>
      <c r="Q10" s="76"/>
      <c r="R10" s="76"/>
      <c r="S10" s="76"/>
    </row>
    <row r="11" spans="1:19" s="5" customFormat="1" ht="15" customHeight="1">
      <c r="A11" s="85"/>
      <c r="B11" s="17"/>
      <c r="C11" s="36" t="s">
        <v>14</v>
      </c>
      <c r="D11" s="7" t="str">
        <f>"Defendants charged in court appearances finalised by trial by whether heard by judge alone or jury, outcome of appearance and court level, " &amp;H4</f>
        <v>Defendants charged in court appearances finalised by trial by whether heard by judge alone or jury, outcome of appearance and court level, July 2020 - June 2025</v>
      </c>
      <c r="E11" s="8"/>
      <c r="F11" s="8"/>
      <c r="G11" s="8"/>
      <c r="H11" s="8"/>
      <c r="I11" s="8"/>
      <c r="J11" s="8"/>
      <c r="K11" s="76"/>
      <c r="L11" s="76"/>
      <c r="M11" s="76"/>
      <c r="N11" s="76"/>
      <c r="O11" s="76"/>
      <c r="P11" s="76"/>
      <c r="Q11" s="76"/>
      <c r="R11" s="76"/>
      <c r="S11" s="76"/>
    </row>
    <row r="12" spans="1:19" ht="15" customHeight="1">
      <c r="A12" s="85"/>
      <c r="B12" s="17"/>
      <c r="C12" s="36">
        <v>4</v>
      </c>
      <c r="D12" s="7" t="str">
        <f>"Defendants charged  in finalised court appearances by outcome of appearance, bail status and court level, " &amp; H4</f>
        <v>Defendants charged  in finalised court appearances by outcome of appearance, bail status and court level, July 2020 - June 2025</v>
      </c>
      <c r="S12" s="76"/>
    </row>
    <row r="13" spans="1:19" ht="15" customHeight="1">
      <c r="A13" s="85"/>
      <c r="B13" s="17"/>
      <c r="C13" s="36">
        <v>5</v>
      </c>
      <c r="D13" s="7" t="str">
        <f>"Defendants convicted in finalised court appearances by type of offence and type of principal penalty, " &amp; H4</f>
        <v>Defendants convicted in finalised court appearances by type of offence and type of principal penalty, July 2020 - June 2025</v>
      </c>
      <c r="E13" s="8"/>
      <c r="F13" s="8"/>
      <c r="G13" s="8"/>
      <c r="H13" s="8"/>
      <c r="I13" s="8"/>
      <c r="J13" s="8"/>
      <c r="S13" s="76"/>
    </row>
    <row r="14" spans="1:19" ht="15" customHeight="1">
      <c r="A14" s="85"/>
      <c r="B14" s="17"/>
      <c r="C14" s="36" t="s">
        <v>15</v>
      </c>
      <c r="D14" s="7" t="str">
        <f>"Defendants convicted in finalised court appearances by type of offence and type of detailed principal penalty, " &amp; G4</f>
        <v>Defendants convicted in finalised court appearances by type of offence and type of detailed principal penalty, July 2024 to June 2025</v>
      </c>
      <c r="E14" s="8"/>
      <c r="F14" s="8"/>
      <c r="G14" s="8"/>
      <c r="H14" s="8"/>
      <c r="I14" s="8"/>
      <c r="J14" s="8"/>
      <c r="S14" s="76"/>
    </row>
    <row r="15" spans="1:19" ht="15" customHeight="1">
      <c r="A15" s="85"/>
      <c r="B15" s="17"/>
      <c r="C15" s="36">
        <v>6</v>
      </c>
      <c r="D15" s="19" t="str">
        <f>"Number and median court delay (days) for finalisations by defended hearing/trial or guilty plea by bail status and court level, " &amp; H4</f>
        <v>Number and median court delay (days) for finalisations by defended hearing/trial or guilty plea by bail status and court level, July 2020 - June 2025</v>
      </c>
      <c r="E15" s="8"/>
      <c r="F15" s="8"/>
      <c r="G15" s="8"/>
      <c r="H15" s="8"/>
      <c r="I15" s="8"/>
      <c r="J15" s="8"/>
      <c r="S15" s="76"/>
    </row>
    <row r="16" spans="1:19" ht="15" customHeight="1">
      <c r="A16" s="85"/>
      <c r="B16" s="17"/>
      <c r="C16" s="36">
        <v>8</v>
      </c>
      <c r="D16" s="7" t="str">
        <f>"Appeal cases finalised in the District Court by outcome and type, " &amp; H3</f>
        <v xml:space="preserve">Appeal cases finalised in the District Court by outcome and type, </v>
      </c>
      <c r="S16" s="76"/>
    </row>
    <row r="17" spans="1:19" ht="15" customHeight="1">
      <c r="A17" s="85"/>
      <c r="B17" s="17"/>
      <c r="C17" s="36"/>
      <c r="D17" s="7"/>
      <c r="E17" s="8"/>
      <c r="F17" s="8"/>
      <c r="G17" s="8"/>
      <c r="H17" s="8"/>
      <c r="I17" s="8"/>
      <c r="J17" s="8"/>
      <c r="S17" s="76"/>
    </row>
    <row r="18" spans="1:19" ht="15" customHeight="1">
      <c r="A18" s="9"/>
      <c r="B18" s="8"/>
      <c r="C18" s="36"/>
      <c r="D18" s="7"/>
      <c r="E18" s="8"/>
      <c r="F18" s="8"/>
      <c r="G18" s="8"/>
      <c r="H18" s="8"/>
      <c r="I18" s="8"/>
      <c r="J18" s="8"/>
      <c r="S18" s="76"/>
    </row>
    <row r="19" spans="1:19" ht="15" customHeight="1">
      <c r="A19" s="84" t="s">
        <v>16</v>
      </c>
      <c r="B19" s="18"/>
      <c r="C19" s="36">
        <v>9</v>
      </c>
      <c r="D19" s="7" t="str">
        <f>"Charges and defendants charged with domestic violence offences in finalised court appearances by type of offence, " &amp; H4</f>
        <v>Charges and defendants charged with domestic violence offences in finalised court appearances by type of offence, July 2020 - June 2025</v>
      </c>
      <c r="E19" s="8"/>
      <c r="F19" s="8"/>
      <c r="G19" s="8"/>
      <c r="H19" s="8"/>
      <c r="I19" s="8"/>
      <c r="J19" s="8"/>
      <c r="S19" s="76"/>
    </row>
    <row r="20" spans="1:19" ht="15" customHeight="1">
      <c r="A20" s="84"/>
      <c r="B20" s="18"/>
      <c r="C20" s="36">
        <v>10</v>
      </c>
      <c r="D20" s="7" t="str">
        <f>"Defendants with proven domestic violence offences in finalised court appearances by type of principal offence and principal penalty, " &amp; H4</f>
        <v>Defendants with proven domestic violence offences in finalised court appearances by type of principal offence and principal penalty, July 2020 - June 2025</v>
      </c>
      <c r="E20" s="8"/>
      <c r="F20" s="8"/>
      <c r="G20" s="8"/>
      <c r="H20" s="8"/>
      <c r="I20" s="8"/>
      <c r="J20" s="8"/>
      <c r="S20" s="76"/>
    </row>
    <row r="21" spans="1:19" ht="15" customHeight="1">
      <c r="A21" s="84"/>
      <c r="B21" s="18"/>
      <c r="C21" s="36" t="s">
        <v>17</v>
      </c>
      <c r="D21" s="7" t="str">
        <f>"Defendants with proven domestic violence offences in finalised court appearances by type of principal offence and detailed principal penalty, " &amp; G4</f>
        <v>Defendants with proven domestic violence offences in finalised court appearances by type of principal offence and detailed principal penalty, July 2024 to June 2025</v>
      </c>
      <c r="E21" s="8"/>
      <c r="F21" s="8"/>
      <c r="G21" s="8"/>
      <c r="H21" s="8"/>
      <c r="I21" s="8"/>
      <c r="J21" s="8"/>
      <c r="S21" s="76"/>
    </row>
    <row r="22" spans="1:19" ht="15" customHeight="1">
      <c r="A22" s="84"/>
      <c r="B22" s="8"/>
      <c r="C22" s="36">
        <v>13</v>
      </c>
      <c r="D22" s="7" t="str">
        <f>"Aboriginal defendants - Charges and defendants charged with domestic violence offences in finalised court appearances by type of principal offence, " &amp; H4</f>
        <v>Aboriginal defendants - Charges and defendants charged with domestic violence offences in finalised court appearances by type of principal offence, July 2020 - June 2025</v>
      </c>
      <c r="E22" s="8"/>
      <c r="F22" s="8"/>
      <c r="G22" s="8"/>
      <c r="H22" s="8"/>
      <c r="I22" s="8"/>
      <c r="J22" s="8"/>
      <c r="S22" s="76"/>
    </row>
    <row r="23" spans="1:19" ht="15" customHeight="1">
      <c r="A23" s="84"/>
      <c r="B23" s="8"/>
      <c r="C23" s="36">
        <v>15</v>
      </c>
      <c r="D23" s="7" t="str">
        <f>"Aboriginal defendants with proven domestic violence offences in finalised court appearances by type of principal offence and principal penalty, " &amp;H4</f>
        <v>Aboriginal defendants with proven domestic violence offences in finalised court appearances by type of principal offence and principal penalty, July 2020 - June 2025</v>
      </c>
      <c r="E23" s="8"/>
      <c r="F23" s="8"/>
      <c r="G23" s="8"/>
      <c r="H23" s="8"/>
      <c r="I23" s="8"/>
      <c r="J23" s="8"/>
      <c r="S23" s="76"/>
    </row>
    <row r="24" spans="1:19" ht="15" customHeight="1">
      <c r="A24" s="84"/>
      <c r="B24" s="8"/>
      <c r="C24" s="36" t="s">
        <v>18</v>
      </c>
      <c r="D24" s="7" t="str">
        <f>"Aboriginal defendants with proven domestic violence offences in finalised court appearances by type of principal offence and principal penalty, " &amp;G4</f>
        <v>Aboriginal defendants with proven domestic violence offences in finalised court appearances by type of principal offence and principal penalty, July 2024 to June 2025</v>
      </c>
      <c r="E24" s="8"/>
      <c r="F24" s="8"/>
      <c r="G24" s="8"/>
      <c r="H24" s="8"/>
      <c r="I24" s="8"/>
      <c r="J24" s="8"/>
      <c r="S24" s="76"/>
    </row>
    <row r="25" spans="1:19" ht="15" customHeight="1">
      <c r="A25" s="9"/>
      <c r="B25" s="8"/>
      <c r="C25" s="36"/>
      <c r="D25" s="8"/>
      <c r="E25" s="8"/>
      <c r="F25" s="8"/>
      <c r="G25" s="8"/>
      <c r="H25" s="8"/>
      <c r="I25" s="8"/>
      <c r="S25" s="76"/>
    </row>
    <row r="26" spans="1:19" ht="15" customHeight="1">
      <c r="A26" s="85" t="s">
        <v>19</v>
      </c>
      <c r="B26" s="10"/>
      <c r="C26" s="36">
        <v>11</v>
      </c>
      <c r="D26" s="7" t="str">
        <f>"Summary characteristics of Aboriginal defendants with a finalised court appearance by court level, " &amp; H4</f>
        <v>Summary characteristics of Aboriginal defendants with a finalised court appearance by court level, July 2020 - June 2025</v>
      </c>
      <c r="E26" s="8"/>
      <c r="F26" s="8"/>
      <c r="G26" s="8"/>
      <c r="H26" s="8"/>
      <c r="I26" s="8"/>
      <c r="J26" s="8"/>
      <c r="S26" s="76"/>
    </row>
    <row r="27" spans="1:19" ht="15" customHeight="1">
      <c r="A27" s="85"/>
      <c r="B27" s="10"/>
      <c r="C27" s="36">
        <v>12</v>
      </c>
      <c r="D27" s="7" t="str">
        <f>"Aboriginal defendants - charges and defendants charged in finalised court appearances by court level and type of offence, " &amp; H4</f>
        <v>Aboriginal defendants - charges and defendants charged in finalised court appearances by court level and type of offence, July 2020 - June 2025</v>
      </c>
      <c r="E27" s="8"/>
      <c r="F27" s="8"/>
      <c r="G27" s="8"/>
      <c r="H27" s="8"/>
      <c r="I27" s="8"/>
      <c r="J27" s="8"/>
      <c r="S27" s="76"/>
    </row>
    <row r="28" spans="1:19" ht="15" customHeight="1">
      <c r="A28" s="85"/>
      <c r="B28" s="10"/>
      <c r="C28" s="36">
        <v>13</v>
      </c>
      <c r="D28" s="7" t="str">
        <f>"Aboriginal defendants - Charges and defendants charged with domestic violence or child sex offences in finalised court appearances by type of offence, " &amp; H4</f>
        <v>Aboriginal defendants - Charges and defendants charged with domestic violence or child sex offences in finalised court appearances by type of offence, July 2020 - June 2025</v>
      </c>
      <c r="E28" s="8"/>
      <c r="F28" s="8"/>
      <c r="G28" s="8"/>
      <c r="H28" s="8"/>
      <c r="I28" s="8"/>
      <c r="J28" s="8"/>
      <c r="S28" s="76"/>
    </row>
    <row r="29" spans="1:19" ht="15" customHeight="1">
      <c r="A29" s="85"/>
      <c r="B29" s="10"/>
      <c r="C29" s="36">
        <v>14</v>
      </c>
      <c r="D29" s="7" t="str">
        <f>"Aboriginal defendants convicted in finalised court appearances by type of offence and type of principal penalty, " &amp; H4</f>
        <v>Aboriginal defendants convicted in finalised court appearances by type of offence and type of principal penalty, July 2020 - June 2025</v>
      </c>
      <c r="E29" s="8"/>
      <c r="F29" s="8"/>
      <c r="G29" s="8"/>
      <c r="H29" s="8"/>
      <c r="I29" s="8"/>
      <c r="J29" s="8"/>
      <c r="S29" s="76"/>
    </row>
    <row r="30" spans="1:19" ht="15" customHeight="1">
      <c r="A30" s="85"/>
      <c r="B30" s="10"/>
      <c r="C30" s="36" t="s">
        <v>20</v>
      </c>
      <c r="D30" s="7" t="str">
        <f>"Aboriginal defendants convicted in finalised court appearances by type of offence and type of detailed principal penalty, " &amp; G4</f>
        <v>Aboriginal defendants convicted in finalised court appearances by type of offence and type of detailed principal penalty, July 2024 to June 2025</v>
      </c>
      <c r="E30" s="8"/>
      <c r="F30" s="8"/>
      <c r="G30" s="8"/>
      <c r="H30" s="8"/>
      <c r="I30" s="8"/>
      <c r="J30" s="8"/>
      <c r="S30" s="76"/>
    </row>
    <row r="31" spans="1:19" ht="15" customHeight="1">
      <c r="A31" s="85"/>
      <c r="B31" s="10"/>
      <c r="C31" s="36">
        <v>15</v>
      </c>
      <c r="D31" s="7" t="str">
        <f>"Aboriginal defendants with proven domestic violence offences in finalised court appearances by type of principal offence and principal penalty, " &amp; H4</f>
        <v>Aboriginal defendants with proven domestic violence offences in finalised court appearances by type of principal offence and principal penalty, July 2020 - June 2025</v>
      </c>
      <c r="E31" s="8"/>
      <c r="F31" s="8"/>
      <c r="G31" s="8"/>
      <c r="H31" s="8"/>
      <c r="I31" s="8"/>
      <c r="J31" s="8"/>
      <c r="S31" s="76"/>
    </row>
    <row r="32" spans="1:19" ht="15" customHeight="1">
      <c r="A32" s="85"/>
      <c r="B32" s="10"/>
      <c r="C32" s="36" t="s">
        <v>18</v>
      </c>
      <c r="D32" s="7" t="str">
        <f>"Aboriginal defendants with proven domestic violence offences in finalised court appearances by type of principal offence and detailed principal penalty, " &amp; G4</f>
        <v>Aboriginal defendants with proven domestic violence offences in finalised court appearances by type of principal offence and detailed principal penalty, July 2024 to June 2025</v>
      </c>
      <c r="E32" s="8"/>
      <c r="F32" s="8"/>
      <c r="G32" s="8"/>
      <c r="H32" s="8"/>
      <c r="I32" s="8"/>
      <c r="J32" s="8"/>
      <c r="S32" s="76"/>
    </row>
    <row r="33" spans="1:19" ht="15" customHeight="1">
      <c r="A33" s="10"/>
      <c r="B33" s="10"/>
      <c r="C33" s="36"/>
      <c r="E33" s="8"/>
      <c r="F33" s="8"/>
      <c r="G33" s="8"/>
      <c r="H33" s="8"/>
      <c r="I33" s="8"/>
      <c r="J33" s="8"/>
      <c r="S33" s="76"/>
    </row>
    <row r="34" spans="1:19" ht="15" customHeight="1">
      <c r="A34" s="84" t="s">
        <v>21</v>
      </c>
      <c r="B34" s="11"/>
      <c r="C34" s="36">
        <v>16</v>
      </c>
      <c r="D34" s="20" t="str">
        <f>"Number and percentage of convicted defendants in finalised court appearances who received custodial sentences by principal offence and court level, " &amp; H4</f>
        <v>Number and percentage of convicted defendants in finalised court appearances who received custodial sentences by principal offence and court level, July 2020 - June 2025</v>
      </c>
      <c r="E34" s="8"/>
      <c r="F34" s="8"/>
      <c r="G34" s="8"/>
      <c r="H34" s="8"/>
      <c r="I34" s="8"/>
      <c r="J34" s="8"/>
      <c r="S34" s="76"/>
    </row>
    <row r="35" spans="1:19" ht="15" customHeight="1">
      <c r="A35" s="84"/>
      <c r="B35" s="11"/>
      <c r="C35" s="36">
        <v>17</v>
      </c>
      <c r="D35" s="20" t="str">
        <f>"Mean custodial sentence (months) in finalised court appearances by principal offence and court level, " &amp; H4</f>
        <v>Mean custodial sentence (months) in finalised court appearances by principal offence and court level, July 2020 - June 2025</v>
      </c>
      <c r="E35" s="8"/>
      <c r="F35" s="8"/>
      <c r="G35" s="8"/>
      <c r="H35" s="8"/>
      <c r="I35" s="8"/>
      <c r="J35" s="8"/>
      <c r="S35" s="76"/>
    </row>
    <row r="36" spans="1:19" s="5" customFormat="1" ht="19.5" customHeight="1">
      <c r="A36" s="2"/>
      <c r="B36" s="12"/>
      <c r="C36" s="13"/>
      <c r="D36" s="13"/>
      <c r="E36" s="13"/>
      <c r="F36" s="13"/>
      <c r="G36" s="2"/>
      <c r="H36" s="2"/>
      <c r="I36" s="2"/>
      <c r="J36" s="2"/>
      <c r="K36" s="76"/>
      <c r="L36" s="76"/>
      <c r="M36" s="76"/>
      <c r="N36" s="76"/>
      <c r="O36" s="76"/>
      <c r="P36" s="76"/>
      <c r="Q36" s="76"/>
      <c r="R36" s="76"/>
      <c r="S36" s="76"/>
    </row>
    <row r="37" spans="1:19" s="5" customFormat="1" ht="12.75" customHeight="1">
      <c r="A37" s="37" t="s">
        <v>22</v>
      </c>
      <c r="B37" s="13"/>
      <c r="C37" s="2"/>
      <c r="D37" s="2"/>
      <c r="E37" s="2"/>
      <c r="F37" s="2"/>
      <c r="G37" s="2"/>
      <c r="H37" s="2"/>
      <c r="I37" s="2"/>
      <c r="J37" s="2"/>
      <c r="K37" s="76"/>
      <c r="L37" s="76"/>
      <c r="M37" s="76"/>
      <c r="N37" s="76"/>
      <c r="O37" s="76"/>
      <c r="P37" s="76"/>
      <c r="Q37" s="76"/>
      <c r="R37" s="76"/>
      <c r="S37" s="76"/>
    </row>
    <row r="38" spans="1:19" s="2" customFormat="1" ht="12.75" customHeight="1">
      <c r="C38" s="14"/>
      <c r="D38" s="14"/>
      <c r="E38" s="14"/>
      <c r="F38" s="14"/>
      <c r="G38" s="14"/>
      <c r="H38" s="14"/>
      <c r="I38" s="14"/>
      <c r="J38" s="14"/>
    </row>
    <row r="39" spans="1:19">
      <c r="A39" s="15" t="s">
        <v>23</v>
      </c>
      <c r="B39" s="14"/>
    </row>
  </sheetData>
  <mergeCells count="5">
    <mergeCell ref="C3:R3"/>
    <mergeCell ref="A34:A35"/>
    <mergeCell ref="A8:A17"/>
    <mergeCell ref="A19:A24"/>
    <mergeCell ref="A26:A32"/>
  </mergeCells>
  <hyperlinks>
    <hyperlink ref="A37:B37" r:id="rId1" display="More information available from the BOCSAR website" xr:uid="{00000000-0004-0000-0000-000000000000}"/>
    <hyperlink ref="A37" r:id="rId2" xr:uid="{00000000-0004-0000-0000-000001000000}"/>
    <hyperlink ref="C8" location="'1-Summarybyyear'!A1" display="'1-Summarybyyear'!A1" xr:uid="{00000000-0004-0000-0000-000002000000}"/>
    <hyperlink ref="C9" location="'2-detailedoffence-outcome'!A1" display="'2-detailedoffence-outcome'!A1" xr:uid="{00000000-0004-0000-0000-000003000000}"/>
    <hyperlink ref="C10" location="'3-Outcome'!A1" display="'3-Outcome'!A1" xr:uid="{00000000-0004-0000-0000-000004000000}"/>
    <hyperlink ref="C12" location="'4-Outcome by bail'!A1" display="'4-Outcome by bail'!A1" xr:uid="{00000000-0004-0000-0000-000005000000}"/>
    <hyperlink ref="C13" location="'5-penalty'!A1" display="'5-penalty'!A1" xr:uid="{00000000-0004-0000-0000-000006000000}"/>
    <hyperlink ref="C15" location="'6-CourtDelay'!A1" display="'6-CourtDelay'!A1" xr:uid="{00000000-0004-0000-0000-000007000000}"/>
    <hyperlink ref="C19" location="'9-DV-detailedoffence'!A1" display="'9-DV-detailedoffence'!A1" xr:uid="{00000000-0004-0000-0000-00000A000000}"/>
    <hyperlink ref="C20" location="'10-DV-penalty'!A1" display="'10-DV-penalty'!A1" xr:uid="{00000000-0004-0000-0000-00000B000000}"/>
    <hyperlink ref="C22" location="'13-Aboriginal DV-detailedoff'!A1" display="'13-Aboriginal DV-detailedoff'!A1" xr:uid="{00000000-0004-0000-0000-00000C000000}"/>
    <hyperlink ref="C26" location="'11-Aboriginal summary by year'!A1" display="'11-Aboriginal summary by year'!A1" xr:uid="{00000000-0004-0000-0000-00000D000000}"/>
    <hyperlink ref="C27" location="'12-Aboriginal detailed offence'!A1" display="'12-Aboriginal detailed offence'!A1" xr:uid="{00000000-0004-0000-0000-00000E000000}"/>
    <hyperlink ref="C28" location="'13-Aboriginal DV-CSOdetailedoff'!A1" display="'13-Aboriginal DV-CSOdetailedoff'!A1" xr:uid="{00000000-0004-0000-0000-00000F000000}"/>
    <hyperlink ref="C34" location="'16-Number-Percent-custody'!A1" display="'16-Number-Percent-custody'!A1" xr:uid="{00000000-0004-0000-0000-000010000000}"/>
    <hyperlink ref="C35" location="'17-Custody-Length'!A1" display="'17-Custody-Length'!A1" xr:uid="{00000000-0004-0000-0000-000011000000}"/>
    <hyperlink ref="C29" location="'14-Aboriginal penalty'!A1" display="'14-Aboriginal penalty'!A1" xr:uid="{00000000-0004-0000-0000-000012000000}"/>
    <hyperlink ref="C31" location="'15-Aboriginal DV-CSOpenalty'!A1" display="'15-Aboriginal DV-CSOpenalty'!A1" xr:uid="{00000000-0004-0000-0000-000013000000}"/>
    <hyperlink ref="C23" location="'15-Aboriginal DV-CSOpenalty'!A1" display="'15-Aboriginal DV-CSOpenalty'!A1" xr:uid="{00000000-0004-0000-0000-000014000000}"/>
    <hyperlink ref="C14" location="'5a-detailedpenalty'!A1" display="5a" xr:uid="{00000000-0004-0000-0000-000015000000}"/>
    <hyperlink ref="C21" location="'10a-DV-detailedpenalty'!A1" display="10a" xr:uid="{00000000-0004-0000-0000-000016000000}"/>
    <hyperlink ref="C24" location="'15a-Aboriginal DV-CSOpenalty'!A1" display="15a" xr:uid="{00000000-0004-0000-0000-000017000000}"/>
    <hyperlink ref="C32" location="'15a-Aboriginal DV-CSOpenalty'!A1" display="15a" xr:uid="{00000000-0004-0000-0000-000018000000}"/>
    <hyperlink ref="C30" location="'14a-Aboriginal detailedpenalty'!A1" display="14a" xr:uid="{00000000-0004-0000-0000-000019000000}"/>
    <hyperlink ref="A3" location="'Explanatory Notes'!A2" display="Explanatory Notes" xr:uid="{00000000-0004-0000-0000-00001A000000}"/>
    <hyperlink ref="C11" location="'3a-Judge Alone or Jury Trial'!A1" display="3a" xr:uid="{0E48F335-8599-4FA0-8A39-22CA2D19E436}"/>
    <hyperlink ref="C16" location="'8-Appeals'!A1" display="'8-Appeals'!A1" xr:uid="{F82B1BAD-6832-4005-9B16-1C598D94C574}"/>
    <hyperlink ref="C3:R3" r:id="rId3" display="This publication uses BOCSAR Standard Offence Classification (BSOC) 2023 to group offences. BSOC 2023 is a modified version of the Australian Bureau of Statistics Australian and New Zealand Standard Offence Classification (ANZSOC) 2023, adapted to better suit the criminal offence legislations in NSW. Criminal Court Statistics reports published before 2025 used ANZSOC 2011 to group offences, and there are material differences in the way offences are grouped between ANZSOC 2011 and BSOC 2023. This means the offence groups used in this report cannot be directly compared with those in reports published prior to 2025. See Explanatory Notes for more details." xr:uid="{33139C98-B428-4D4B-A508-93E94085A8D9}"/>
  </hyperlinks>
  <pageMargins left="0.39370078740157483" right="0.39370078740157483" top="0.59055118110236227" bottom="0.59055118110236227" header="0.39370078740157483" footer="0.39370078740157483"/>
  <pageSetup paperSize="9" scale="93" orientation="landscape" horizontalDpi="4294967293" verticalDpi="4294967293"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D24D-C51D-4CF1-9F48-B19A68E3D1E4}">
  <dimension ref="A1:G21"/>
  <sheetViews>
    <sheetView tabSelected="1" workbookViewId="0">
      <selection activeCell="C24" sqref="C24"/>
    </sheetView>
  </sheetViews>
  <sheetFormatPr defaultColWidth="9.28515625" defaultRowHeight="12.75"/>
  <cols>
    <col min="1" max="1" width="22.140625" style="77" customWidth="1"/>
    <col min="2" max="2" width="24.85546875" style="77" customWidth="1"/>
    <col min="3" max="3" width="11.7109375" style="77" customWidth="1"/>
    <col min="4" max="4" width="13.85546875" style="77" customWidth="1"/>
    <col min="5" max="5" width="15.42578125" style="77" customWidth="1"/>
    <col min="6" max="6" width="15" style="77" customWidth="1"/>
    <col min="7" max="7" width="14.42578125" style="77" customWidth="1"/>
    <col min="8" max="16384" width="9.28515625" style="77"/>
  </cols>
  <sheetData>
    <row r="1" spans="1:7" s="78" customFormat="1" ht="54" customHeight="1">
      <c r="A1" s="78" t="s">
        <v>24</v>
      </c>
      <c r="B1" s="79" t="s">
        <v>25</v>
      </c>
      <c r="C1" s="79" t="s">
        <v>26</v>
      </c>
      <c r="D1" s="79" t="s">
        <v>27</v>
      </c>
      <c r="E1" s="79" t="s">
        <v>28</v>
      </c>
      <c r="F1" s="79" t="s">
        <v>29</v>
      </c>
      <c r="G1" s="79" t="s">
        <v>30</v>
      </c>
    </row>
    <row r="2" spans="1:7" ht="13.9" customHeight="1">
      <c r="A2" s="77" t="s">
        <v>31</v>
      </c>
      <c r="B2" s="77" t="s">
        <v>32</v>
      </c>
      <c r="C2" s="77">
        <v>57</v>
      </c>
      <c r="D2" s="77">
        <v>433</v>
      </c>
      <c r="E2" s="77">
        <v>325</v>
      </c>
      <c r="F2" s="77">
        <v>46.5</v>
      </c>
      <c r="G2" s="77">
        <v>788</v>
      </c>
    </row>
    <row r="3" spans="1:7">
      <c r="A3" s="77" t="s">
        <v>31</v>
      </c>
      <c r="B3" s="77" t="s">
        <v>33</v>
      </c>
      <c r="C3" s="77">
        <v>60</v>
      </c>
      <c r="D3" s="77">
        <v>458</v>
      </c>
      <c r="E3" s="77">
        <v>391.5</v>
      </c>
      <c r="F3" s="77">
        <v>113</v>
      </c>
      <c r="G3" s="77">
        <v>961</v>
      </c>
    </row>
    <row r="4" spans="1:7">
      <c r="A4" s="77" t="s">
        <v>31</v>
      </c>
      <c r="B4" s="77" t="s">
        <v>34</v>
      </c>
      <c r="C4" s="77">
        <v>73</v>
      </c>
      <c r="D4" s="77">
        <v>436</v>
      </c>
      <c r="E4" s="77">
        <v>447</v>
      </c>
      <c r="F4" s="77">
        <v>99.5</v>
      </c>
      <c r="G4" s="77">
        <v>957</v>
      </c>
    </row>
    <row r="5" spans="1:7">
      <c r="A5" s="77" t="s">
        <v>31</v>
      </c>
      <c r="B5" s="77" t="s">
        <v>35</v>
      </c>
      <c r="C5" s="77">
        <v>58</v>
      </c>
      <c r="D5" s="77">
        <v>550.5</v>
      </c>
      <c r="E5" s="77">
        <v>395.5</v>
      </c>
      <c r="F5" s="77">
        <v>114</v>
      </c>
      <c r="G5" s="77">
        <v>1091</v>
      </c>
    </row>
    <row r="6" spans="1:7">
      <c r="A6" s="77" t="s">
        <v>31</v>
      </c>
      <c r="B6" s="77" t="s">
        <v>36</v>
      </c>
      <c r="C6" s="77">
        <v>54</v>
      </c>
      <c r="D6" s="77">
        <v>489</v>
      </c>
      <c r="E6" s="77">
        <v>376.5</v>
      </c>
      <c r="F6" s="77">
        <v>94</v>
      </c>
      <c r="G6" s="77">
        <v>919</v>
      </c>
    </row>
    <row r="7" spans="1:7">
      <c r="A7" s="77" t="s">
        <v>37</v>
      </c>
      <c r="B7" s="77" t="s">
        <v>32</v>
      </c>
      <c r="C7" s="77">
        <v>2614</v>
      </c>
      <c r="D7" s="77">
        <v>263</v>
      </c>
      <c r="E7" s="77">
        <v>198</v>
      </c>
      <c r="F7" s="77">
        <v>0</v>
      </c>
      <c r="G7" s="77">
        <v>504.5</v>
      </c>
    </row>
    <row r="8" spans="1:7">
      <c r="A8" s="77" t="s">
        <v>37</v>
      </c>
      <c r="B8" s="77" t="s">
        <v>33</v>
      </c>
      <c r="C8" s="77">
        <v>2420</v>
      </c>
      <c r="D8" s="77">
        <v>273</v>
      </c>
      <c r="E8" s="77">
        <v>203</v>
      </c>
      <c r="F8" s="77">
        <v>0</v>
      </c>
      <c r="G8" s="77">
        <v>519</v>
      </c>
    </row>
    <row r="9" spans="1:7">
      <c r="A9" s="77" t="s">
        <v>37</v>
      </c>
      <c r="B9" s="77" t="s">
        <v>34</v>
      </c>
      <c r="C9" s="77">
        <v>2415</v>
      </c>
      <c r="D9" s="77">
        <v>287</v>
      </c>
      <c r="E9" s="77">
        <v>225</v>
      </c>
      <c r="F9" s="77">
        <v>0</v>
      </c>
      <c r="G9" s="77">
        <v>572.5</v>
      </c>
    </row>
    <row r="10" spans="1:7">
      <c r="A10" s="77" t="s">
        <v>37</v>
      </c>
      <c r="B10" s="77" t="s">
        <v>35</v>
      </c>
      <c r="C10" s="77">
        <v>2268</v>
      </c>
      <c r="D10" s="77">
        <v>299</v>
      </c>
      <c r="E10" s="77">
        <v>229</v>
      </c>
      <c r="F10" s="77">
        <v>0</v>
      </c>
      <c r="G10" s="77">
        <v>589.5</v>
      </c>
    </row>
    <row r="11" spans="1:7">
      <c r="A11" s="77" t="s">
        <v>37</v>
      </c>
      <c r="B11" s="77" t="s">
        <v>36</v>
      </c>
      <c r="C11" s="77">
        <v>2311</v>
      </c>
      <c r="D11" s="77">
        <v>319</v>
      </c>
      <c r="E11" s="77">
        <v>243</v>
      </c>
      <c r="F11" s="77">
        <v>0</v>
      </c>
      <c r="G11" s="77">
        <v>635</v>
      </c>
    </row>
    <row r="12" spans="1:7">
      <c r="A12" s="77" t="s">
        <v>38</v>
      </c>
      <c r="B12" s="77" t="s">
        <v>32</v>
      </c>
      <c r="C12" s="77">
        <v>86942</v>
      </c>
      <c r="D12" s="77">
        <v>43</v>
      </c>
      <c r="E12" s="77">
        <v>42</v>
      </c>
      <c r="F12" s="77">
        <v>0</v>
      </c>
      <c r="G12" s="77">
        <v>104</v>
      </c>
    </row>
    <row r="13" spans="1:7">
      <c r="A13" s="77" t="s">
        <v>38</v>
      </c>
      <c r="B13" s="77" t="s">
        <v>33</v>
      </c>
      <c r="C13" s="77">
        <v>77666</v>
      </c>
      <c r="D13" s="77">
        <v>37</v>
      </c>
      <c r="E13" s="77">
        <v>42</v>
      </c>
      <c r="F13" s="77">
        <v>0</v>
      </c>
      <c r="G13" s="77">
        <v>88</v>
      </c>
    </row>
    <row r="14" spans="1:7">
      <c r="A14" s="77" t="s">
        <v>38</v>
      </c>
      <c r="B14" s="77" t="s">
        <v>34</v>
      </c>
      <c r="C14" s="77">
        <v>92212</v>
      </c>
      <c r="D14" s="77">
        <v>36</v>
      </c>
      <c r="E14" s="77">
        <v>42</v>
      </c>
      <c r="F14" s="77">
        <v>0</v>
      </c>
      <c r="G14" s="77">
        <v>92</v>
      </c>
    </row>
    <row r="15" spans="1:7">
      <c r="A15" s="77" t="s">
        <v>38</v>
      </c>
      <c r="B15" s="77" t="s">
        <v>35</v>
      </c>
      <c r="C15" s="77">
        <v>85816</v>
      </c>
      <c r="D15" s="77">
        <v>36</v>
      </c>
      <c r="E15" s="77">
        <v>42</v>
      </c>
      <c r="F15" s="77">
        <v>0</v>
      </c>
      <c r="G15" s="77">
        <v>94</v>
      </c>
    </row>
    <row r="16" spans="1:7">
      <c r="A16" s="77" t="s">
        <v>38</v>
      </c>
      <c r="B16" s="77" t="s">
        <v>36</v>
      </c>
      <c r="C16" s="77">
        <v>90449</v>
      </c>
      <c r="D16" s="77">
        <v>36</v>
      </c>
      <c r="E16" s="77">
        <v>42</v>
      </c>
      <c r="F16" s="77">
        <v>0</v>
      </c>
      <c r="G16" s="77">
        <v>93</v>
      </c>
    </row>
    <row r="17" spans="1:7">
      <c r="A17" s="77" t="s">
        <v>39</v>
      </c>
      <c r="B17" s="77" t="s">
        <v>32</v>
      </c>
      <c r="C17" s="77">
        <v>4073</v>
      </c>
      <c r="D17" s="77">
        <v>29.5</v>
      </c>
      <c r="E17" s="77">
        <v>104</v>
      </c>
      <c r="F17" s="77">
        <v>0</v>
      </c>
      <c r="G17" s="77">
        <v>166</v>
      </c>
    </row>
    <row r="18" spans="1:7">
      <c r="A18" s="77" t="s">
        <v>39</v>
      </c>
      <c r="B18" s="77" t="s">
        <v>33</v>
      </c>
      <c r="C18" s="77">
        <v>3551</v>
      </c>
      <c r="D18" s="77">
        <v>27</v>
      </c>
      <c r="E18" s="77">
        <v>99</v>
      </c>
      <c r="F18" s="77">
        <v>0</v>
      </c>
      <c r="G18" s="77">
        <v>160</v>
      </c>
    </row>
    <row r="19" spans="1:7">
      <c r="A19" s="77" t="s">
        <v>39</v>
      </c>
      <c r="B19" s="77" t="s">
        <v>34</v>
      </c>
      <c r="C19" s="77">
        <v>4071</v>
      </c>
      <c r="D19" s="77">
        <v>23</v>
      </c>
      <c r="E19" s="77">
        <v>98</v>
      </c>
      <c r="F19" s="77">
        <v>0</v>
      </c>
      <c r="G19" s="77">
        <v>146</v>
      </c>
    </row>
    <row r="20" spans="1:7">
      <c r="A20" s="77" t="s">
        <v>39</v>
      </c>
      <c r="B20" s="77" t="s">
        <v>35</v>
      </c>
      <c r="C20" s="77">
        <v>3736</v>
      </c>
      <c r="D20" s="77">
        <v>22</v>
      </c>
      <c r="E20" s="77">
        <v>103</v>
      </c>
      <c r="F20" s="77">
        <v>0</v>
      </c>
      <c r="G20" s="77">
        <v>144</v>
      </c>
    </row>
    <row r="21" spans="1:7">
      <c r="A21" s="77" t="s">
        <v>39</v>
      </c>
      <c r="B21" s="77" t="s">
        <v>36</v>
      </c>
      <c r="C21" s="77">
        <v>3913</v>
      </c>
      <c r="D21" s="77">
        <v>21</v>
      </c>
      <c r="E21" s="77">
        <v>101</v>
      </c>
      <c r="F21" s="77">
        <v>0</v>
      </c>
      <c r="G21" s="77">
        <v>146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169"/>
  <sheetViews>
    <sheetView zoomScaleNormal="100" workbookViewId="0"/>
  </sheetViews>
  <sheetFormatPr defaultColWidth="9.140625" defaultRowHeight="12.75"/>
  <cols>
    <col min="1" max="1" width="9.140625" style="46" customWidth="1"/>
    <col min="2" max="16384" width="9.140625" style="46"/>
  </cols>
  <sheetData>
    <row r="1" spans="1:11" ht="15" customHeight="1">
      <c r="A1" s="16" t="s">
        <v>40</v>
      </c>
    </row>
    <row r="2" spans="1:11" ht="15" customHeight="1">
      <c r="A2" s="16"/>
    </row>
    <row r="3" spans="1:11" ht="15" customHeight="1">
      <c r="A3" s="23" t="s">
        <v>41</v>
      </c>
      <c r="B3" s="47"/>
      <c r="C3" s="45"/>
      <c r="D3" s="45"/>
      <c r="E3" s="45"/>
      <c r="F3" s="45"/>
    </row>
    <row r="4" spans="1:11" ht="15" customHeight="1">
      <c r="A4" s="45"/>
      <c r="B4" s="45"/>
      <c r="C4" s="45"/>
      <c r="D4" s="45"/>
      <c r="E4" s="45"/>
      <c r="F4" s="45"/>
    </row>
    <row r="5" spans="1:11" ht="32.25" customHeight="1">
      <c r="A5" s="87" t="s">
        <v>42</v>
      </c>
      <c r="B5" s="87"/>
      <c r="C5" s="87"/>
      <c r="D5" s="87"/>
      <c r="E5" s="87"/>
      <c r="F5" s="87"/>
      <c r="G5" s="87"/>
      <c r="H5" s="87"/>
      <c r="I5" s="87"/>
      <c r="J5" s="87"/>
      <c r="K5" s="87"/>
    </row>
    <row r="6" spans="1:11" ht="15" customHeight="1">
      <c r="A6" s="43"/>
      <c r="B6" s="45"/>
      <c r="C6" s="45"/>
      <c r="D6" s="45"/>
      <c r="E6" s="45"/>
      <c r="F6" s="45"/>
    </row>
    <row r="7" spans="1:11" ht="15" customHeight="1">
      <c r="A7" s="87" t="s">
        <v>43</v>
      </c>
      <c r="B7" s="87"/>
      <c r="C7" s="87"/>
      <c r="D7" s="87"/>
      <c r="E7" s="87"/>
      <c r="F7" s="87"/>
      <c r="G7" s="87"/>
      <c r="H7" s="87"/>
      <c r="I7" s="87"/>
      <c r="J7" s="87"/>
      <c r="K7" s="87"/>
    </row>
    <row r="8" spans="1:11" ht="15" customHeight="1">
      <c r="A8" s="43"/>
      <c r="B8" s="45"/>
      <c r="C8" s="45"/>
      <c r="D8" s="45"/>
      <c r="E8" s="45"/>
      <c r="F8" s="45"/>
    </row>
    <row r="9" spans="1:11" ht="15" customHeight="1">
      <c r="A9" s="24" t="s">
        <v>44</v>
      </c>
      <c r="B9" s="45"/>
      <c r="C9" s="45"/>
      <c r="D9" s="45"/>
      <c r="E9" s="45"/>
      <c r="F9" s="45"/>
    </row>
    <row r="10" spans="1:11" ht="103.5" customHeight="1">
      <c r="A10" s="87" t="s">
        <v>45</v>
      </c>
      <c r="B10" s="87"/>
      <c r="C10" s="87"/>
      <c r="D10" s="87"/>
      <c r="E10" s="87"/>
      <c r="F10" s="87"/>
      <c r="G10" s="87"/>
      <c r="H10" s="87"/>
      <c r="I10" s="87"/>
      <c r="J10" s="87"/>
      <c r="K10" s="87"/>
    </row>
    <row r="11" spans="1:11" ht="15" customHeight="1">
      <c r="A11" s="45"/>
      <c r="B11" s="45"/>
      <c r="C11" s="45"/>
      <c r="D11" s="45"/>
      <c r="E11" s="45"/>
      <c r="F11" s="45"/>
    </row>
    <row r="12" spans="1:11" ht="15" customHeight="1">
      <c r="A12" s="24" t="s">
        <v>38</v>
      </c>
      <c r="B12" s="45"/>
      <c r="C12" s="45"/>
      <c r="D12" s="45"/>
      <c r="E12" s="45"/>
      <c r="F12" s="45"/>
    </row>
    <row r="13" spans="1:11" ht="59.25" customHeight="1">
      <c r="A13" s="87" t="s">
        <v>46</v>
      </c>
      <c r="B13" s="87"/>
      <c r="C13" s="87"/>
      <c r="D13" s="87"/>
      <c r="E13" s="87"/>
      <c r="F13" s="87"/>
      <c r="G13" s="87"/>
      <c r="H13" s="87"/>
      <c r="I13" s="87"/>
      <c r="J13" s="87"/>
      <c r="K13" s="87"/>
    </row>
    <row r="14" spans="1:11" ht="15" customHeight="1">
      <c r="A14" s="43"/>
      <c r="B14" s="45"/>
      <c r="C14" s="45"/>
      <c r="D14" s="45"/>
      <c r="E14" s="45"/>
      <c r="F14" s="45"/>
    </row>
    <row r="15" spans="1:11" ht="15" customHeight="1">
      <c r="A15" s="24" t="s">
        <v>39</v>
      </c>
      <c r="B15" s="45"/>
      <c r="C15" s="45"/>
      <c r="D15" s="45"/>
      <c r="E15" s="45"/>
      <c r="F15" s="45"/>
    </row>
    <row r="16" spans="1:11" ht="60" customHeight="1">
      <c r="A16" s="87" t="s">
        <v>47</v>
      </c>
      <c r="B16" s="87"/>
      <c r="C16" s="87"/>
      <c r="D16" s="87"/>
      <c r="E16" s="87"/>
      <c r="F16" s="87"/>
      <c r="G16" s="87"/>
      <c r="H16" s="87"/>
      <c r="I16" s="87"/>
      <c r="J16" s="87"/>
      <c r="K16" s="87"/>
    </row>
    <row r="17" spans="1:11" ht="15" customHeight="1">
      <c r="A17" s="25"/>
      <c r="B17" s="45"/>
      <c r="C17" s="45"/>
      <c r="D17" s="45"/>
      <c r="E17" s="45"/>
      <c r="F17" s="45"/>
    </row>
    <row r="18" spans="1:11" ht="15" customHeight="1">
      <c r="A18" s="26"/>
      <c r="B18" s="45"/>
      <c r="C18" s="45"/>
      <c r="D18" s="45"/>
      <c r="E18" s="45"/>
      <c r="F18" s="45"/>
    </row>
    <row r="19" spans="1:11" ht="15" customHeight="1">
      <c r="A19" s="26" t="s">
        <v>48</v>
      </c>
      <c r="B19" s="45"/>
      <c r="C19" s="45"/>
      <c r="D19" s="45"/>
      <c r="E19" s="45"/>
      <c r="F19" s="45"/>
    </row>
    <row r="20" spans="1:11" ht="15" customHeight="1">
      <c r="A20" s="45"/>
      <c r="B20" s="45"/>
      <c r="C20" s="45"/>
      <c r="D20" s="45"/>
      <c r="E20" s="45"/>
      <c r="F20" s="45"/>
    </row>
    <row r="21" spans="1:11" ht="30" customHeight="1">
      <c r="A21" s="87" t="s">
        <v>49</v>
      </c>
      <c r="B21" s="87"/>
      <c r="C21" s="87"/>
      <c r="D21" s="87"/>
      <c r="E21" s="87"/>
      <c r="F21" s="87"/>
      <c r="G21" s="87"/>
      <c r="H21" s="87"/>
      <c r="I21" s="87"/>
      <c r="J21" s="87"/>
      <c r="K21" s="87"/>
    </row>
    <row r="22" spans="1:11" ht="15" customHeight="1">
      <c r="A22" s="43"/>
      <c r="B22" s="45"/>
      <c r="C22" s="45"/>
      <c r="D22" s="45"/>
      <c r="E22" s="45"/>
      <c r="F22" s="45"/>
    </row>
    <row r="23" spans="1:11" ht="45" customHeight="1">
      <c r="A23" s="87" t="s">
        <v>50</v>
      </c>
      <c r="B23" s="87"/>
      <c r="C23" s="87"/>
      <c r="D23" s="87"/>
      <c r="E23" s="87"/>
      <c r="F23" s="87"/>
      <c r="G23" s="87"/>
      <c r="H23" s="87"/>
      <c r="I23" s="87"/>
      <c r="J23" s="87"/>
      <c r="K23" s="87"/>
    </row>
    <row r="24" spans="1:11" ht="15" customHeight="1">
      <c r="A24" s="45"/>
      <c r="B24" s="45"/>
      <c r="C24" s="45"/>
      <c r="D24" s="45"/>
      <c r="E24" s="45"/>
      <c r="F24" s="45"/>
    </row>
    <row r="25" spans="1:11" ht="30" customHeight="1">
      <c r="A25" s="87" t="s">
        <v>51</v>
      </c>
      <c r="B25" s="87"/>
      <c r="C25" s="87"/>
      <c r="D25" s="87"/>
      <c r="E25" s="87"/>
      <c r="F25" s="87"/>
      <c r="G25" s="87"/>
      <c r="H25" s="87"/>
      <c r="I25" s="87"/>
      <c r="J25" s="87"/>
      <c r="K25" s="87"/>
    </row>
    <row r="26" spans="1:11" ht="15" customHeight="1">
      <c r="A26" s="45"/>
      <c r="B26" s="45"/>
      <c r="C26" s="45"/>
      <c r="D26" s="45"/>
      <c r="E26" s="45"/>
      <c r="F26" s="45"/>
    </row>
    <row r="27" spans="1:11" ht="177" customHeight="1">
      <c r="A27" s="87" t="s">
        <v>52</v>
      </c>
      <c r="B27" s="87"/>
      <c r="C27" s="87"/>
      <c r="D27" s="87"/>
      <c r="E27" s="87"/>
      <c r="F27" s="87"/>
      <c r="G27" s="87"/>
      <c r="H27" s="87"/>
      <c r="I27" s="87"/>
      <c r="J27" s="87"/>
      <c r="K27" s="87"/>
    </row>
    <row r="28" spans="1:11" ht="94.5" customHeight="1">
      <c r="A28" s="87" t="s">
        <v>53</v>
      </c>
      <c r="B28" s="87"/>
      <c r="C28" s="87"/>
      <c r="D28" s="87"/>
      <c r="E28" s="87"/>
      <c r="F28" s="87"/>
      <c r="G28" s="87"/>
      <c r="H28" s="87"/>
      <c r="I28" s="87"/>
      <c r="J28" s="87"/>
      <c r="K28" s="87"/>
    </row>
    <row r="29" spans="1:11" ht="15" customHeight="1">
      <c r="A29" s="45"/>
      <c r="B29" s="45"/>
      <c r="C29" s="45"/>
      <c r="D29" s="45"/>
      <c r="E29" s="45"/>
      <c r="F29" s="45"/>
    </row>
    <row r="30" spans="1:11" ht="15" customHeight="1">
      <c r="A30" s="26" t="s">
        <v>54</v>
      </c>
      <c r="B30" s="45"/>
      <c r="C30" s="45"/>
      <c r="D30" s="45"/>
      <c r="E30" s="45"/>
      <c r="F30" s="45"/>
    </row>
    <row r="31" spans="1:11" ht="15" customHeight="1">
      <c r="A31" s="26"/>
      <c r="B31" s="45"/>
      <c r="C31" s="45"/>
      <c r="D31" s="45"/>
      <c r="E31" s="45"/>
      <c r="F31" s="45"/>
    </row>
    <row r="32" spans="1:11" ht="30" customHeight="1">
      <c r="A32" s="95" t="str">
        <f>"The statistics in this collection relate to defendants who had criminal cases finalised within the Higher, Local and Children's Courts during the reference period " &amp; 'Table Of Contents'!H4 &amp; "."</f>
        <v>The statistics in this collection relate to defendants who had criminal cases finalised within the Higher, Local and Children's Courts during the reference period July 2020 - June 2025.</v>
      </c>
      <c r="B32" s="95"/>
      <c r="C32" s="95"/>
      <c r="D32" s="95"/>
      <c r="E32" s="95"/>
      <c r="F32" s="95"/>
      <c r="G32" s="95"/>
      <c r="H32" s="95"/>
      <c r="I32" s="95"/>
      <c r="J32" s="95"/>
      <c r="K32" s="95"/>
    </row>
    <row r="33" spans="1:11" ht="15" customHeight="1">
      <c r="A33" s="41"/>
      <c r="B33" s="41"/>
      <c r="C33" s="41"/>
      <c r="D33" s="41"/>
      <c r="E33" s="41"/>
      <c r="F33" s="41"/>
      <c r="G33" s="41"/>
      <c r="H33" s="41"/>
      <c r="I33" s="41"/>
      <c r="J33" s="41"/>
      <c r="K33" s="41"/>
    </row>
    <row r="34" spans="1:11" ht="15" customHeight="1">
      <c r="A34" s="43"/>
      <c r="B34" s="45"/>
      <c r="C34" s="45"/>
      <c r="D34" s="45"/>
      <c r="E34" s="45"/>
      <c r="F34" s="45"/>
    </row>
    <row r="35" spans="1:11" ht="15" customHeight="1">
      <c r="A35" s="23" t="s">
        <v>55</v>
      </c>
      <c r="B35" s="45"/>
      <c r="C35" s="45"/>
      <c r="D35" s="45"/>
      <c r="E35" s="45"/>
      <c r="F35" s="45"/>
    </row>
    <row r="36" spans="1:11" ht="15" customHeight="1">
      <c r="A36" s="45"/>
      <c r="B36" s="45"/>
      <c r="C36" s="45"/>
      <c r="D36" s="45"/>
      <c r="E36" s="45"/>
      <c r="F36" s="48"/>
    </row>
    <row r="37" spans="1:11" ht="88.5" customHeight="1">
      <c r="A37" s="94" t="s">
        <v>56</v>
      </c>
      <c r="B37" s="87"/>
      <c r="C37" s="87"/>
      <c r="D37" s="87"/>
      <c r="E37" s="87"/>
      <c r="F37" s="87"/>
      <c r="G37" s="87"/>
      <c r="H37" s="87"/>
      <c r="I37" s="87"/>
      <c r="J37" s="87"/>
      <c r="K37" s="87"/>
    </row>
    <row r="38" spans="1:11" ht="7.5" customHeight="1">
      <c r="A38" s="42"/>
      <c r="B38" s="32"/>
      <c r="C38" s="32"/>
      <c r="D38" s="32"/>
      <c r="E38" s="32"/>
      <c r="F38" s="32"/>
      <c r="G38" s="32"/>
      <c r="H38" s="32"/>
      <c r="I38" s="32"/>
      <c r="J38" s="32"/>
      <c r="K38" s="32"/>
    </row>
    <row r="39" spans="1:11" ht="45.75" customHeight="1">
      <c r="A39" s="87" t="s">
        <v>57</v>
      </c>
      <c r="B39" s="87"/>
      <c r="C39" s="87"/>
      <c r="D39" s="87"/>
      <c r="E39" s="87"/>
      <c r="F39" s="87"/>
      <c r="G39" s="87"/>
      <c r="H39" s="87"/>
      <c r="I39" s="87"/>
      <c r="J39" s="87"/>
      <c r="K39" s="87"/>
    </row>
    <row r="40" spans="1:11" ht="6" customHeight="1">
      <c r="A40" s="28"/>
      <c r="B40" s="45"/>
      <c r="C40" s="45"/>
      <c r="D40" s="45"/>
      <c r="E40" s="45"/>
      <c r="F40" s="45"/>
    </row>
    <row r="41" spans="1:11" ht="62.25" customHeight="1">
      <c r="A41" s="86" t="s">
        <v>58</v>
      </c>
      <c r="B41" s="87"/>
      <c r="C41" s="87"/>
      <c r="D41" s="87"/>
      <c r="E41" s="87"/>
      <c r="F41" s="87"/>
      <c r="G41" s="87"/>
      <c r="H41" s="87"/>
      <c r="I41" s="87"/>
      <c r="J41" s="87"/>
      <c r="K41" s="87"/>
    </row>
    <row r="42" spans="1:11" ht="9" customHeight="1">
      <c r="A42" s="32"/>
      <c r="B42" s="32"/>
      <c r="C42" s="32"/>
      <c r="D42" s="32"/>
      <c r="E42" s="32"/>
      <c r="F42" s="32"/>
      <c r="G42" s="32"/>
      <c r="H42" s="32"/>
      <c r="I42" s="32"/>
      <c r="J42" s="32"/>
      <c r="K42" s="32"/>
    </row>
    <row r="43" spans="1:11" ht="15" customHeight="1">
      <c r="A43" s="87" t="s">
        <v>59</v>
      </c>
      <c r="B43" s="87"/>
      <c r="C43" s="87"/>
      <c r="D43" s="87"/>
      <c r="E43" s="87"/>
      <c r="F43" s="87"/>
      <c r="G43" s="87"/>
      <c r="H43" s="87"/>
      <c r="I43" s="87"/>
      <c r="J43" s="87"/>
      <c r="K43" s="87"/>
    </row>
    <row r="44" spans="1:11" ht="45.75" customHeight="1">
      <c r="A44" s="87" t="s">
        <v>60</v>
      </c>
      <c r="B44" s="87"/>
      <c r="C44" s="87"/>
      <c r="D44" s="87"/>
      <c r="E44" s="87"/>
      <c r="F44" s="87"/>
      <c r="G44" s="87"/>
      <c r="H44" s="87"/>
      <c r="I44" s="87"/>
      <c r="J44" s="87"/>
      <c r="K44" s="87"/>
    </row>
    <row r="45" spans="1:11" ht="30" customHeight="1">
      <c r="A45" s="87" t="s">
        <v>61</v>
      </c>
      <c r="B45" s="87"/>
      <c r="C45" s="87"/>
      <c r="D45" s="87"/>
      <c r="E45" s="87"/>
      <c r="F45" s="87"/>
      <c r="G45" s="87"/>
      <c r="H45" s="87"/>
      <c r="I45" s="87"/>
      <c r="J45" s="87"/>
      <c r="K45" s="87"/>
    </row>
    <row r="46" spans="1:11" ht="30" customHeight="1">
      <c r="A46" s="87" t="s">
        <v>62</v>
      </c>
      <c r="B46" s="87"/>
      <c r="C46" s="87"/>
      <c r="D46" s="87"/>
      <c r="E46" s="87"/>
      <c r="F46" s="87"/>
      <c r="G46" s="87"/>
      <c r="H46" s="87"/>
      <c r="I46" s="87"/>
      <c r="J46" s="87"/>
      <c r="K46" s="87"/>
    </row>
    <row r="47" spans="1:11" ht="30" customHeight="1">
      <c r="A47" s="87" t="s">
        <v>63</v>
      </c>
      <c r="B47" s="87"/>
      <c r="C47" s="87"/>
      <c r="D47" s="87"/>
      <c r="E47" s="87"/>
      <c r="F47" s="87"/>
      <c r="G47" s="87"/>
      <c r="H47" s="87"/>
      <c r="I47" s="87"/>
      <c r="J47" s="87"/>
      <c r="K47" s="87"/>
    </row>
    <row r="48" spans="1:11" ht="15" customHeight="1">
      <c r="A48" s="49"/>
      <c r="B48" s="45"/>
      <c r="C48" s="45"/>
      <c r="D48" s="45"/>
      <c r="E48" s="45"/>
      <c r="F48" s="45"/>
    </row>
    <row r="49" spans="1:11" ht="116.25" customHeight="1">
      <c r="A49" s="86" t="s">
        <v>64</v>
      </c>
      <c r="B49" s="87"/>
      <c r="C49" s="87"/>
      <c r="D49" s="87"/>
      <c r="E49" s="87"/>
      <c r="F49" s="87"/>
      <c r="G49" s="87"/>
      <c r="H49" s="87"/>
      <c r="I49" s="87"/>
      <c r="J49" s="87"/>
      <c r="K49" s="87"/>
    </row>
    <row r="50" spans="1:11" ht="15" customHeight="1">
      <c r="A50" s="45"/>
      <c r="B50" s="45"/>
      <c r="C50" s="45"/>
      <c r="D50" s="45"/>
      <c r="E50" s="45"/>
      <c r="F50" s="45"/>
    </row>
    <row r="51" spans="1:11" ht="60" customHeight="1">
      <c r="A51" s="87" t="s">
        <v>65</v>
      </c>
      <c r="B51" s="87"/>
      <c r="C51" s="87"/>
      <c r="D51" s="87"/>
      <c r="E51" s="87"/>
      <c r="F51" s="87"/>
      <c r="G51" s="87"/>
      <c r="H51" s="87"/>
      <c r="I51" s="87"/>
      <c r="J51" s="87"/>
      <c r="K51" s="87"/>
    </row>
    <row r="52" spans="1:11" ht="15" customHeight="1">
      <c r="A52" s="45"/>
      <c r="B52" s="45"/>
      <c r="C52" s="45"/>
      <c r="D52" s="45"/>
      <c r="E52" s="45"/>
      <c r="F52" s="45"/>
    </row>
    <row r="53" spans="1:11" ht="75" customHeight="1">
      <c r="A53" s="87" t="s">
        <v>66</v>
      </c>
      <c r="B53" s="87"/>
      <c r="C53" s="87"/>
      <c r="D53" s="87"/>
      <c r="E53" s="87"/>
      <c r="F53" s="87"/>
      <c r="G53" s="87"/>
      <c r="H53" s="87"/>
      <c r="I53" s="87"/>
      <c r="J53" s="87"/>
      <c r="K53" s="87"/>
    </row>
    <row r="54" spans="1:11" ht="132.75" customHeight="1">
      <c r="A54" s="87" t="s">
        <v>67</v>
      </c>
      <c r="B54" s="87"/>
      <c r="C54" s="87"/>
      <c r="D54" s="87"/>
      <c r="E54" s="87"/>
      <c r="F54" s="87"/>
      <c r="G54" s="87"/>
      <c r="H54" s="87"/>
      <c r="I54" s="87"/>
      <c r="J54" s="87"/>
      <c r="K54" s="87"/>
    </row>
    <row r="55" spans="1:11" ht="6.75" customHeight="1">
      <c r="A55" s="28"/>
      <c r="B55" s="45"/>
      <c r="C55" s="45"/>
      <c r="D55" s="45"/>
      <c r="E55" s="45"/>
      <c r="F55" s="45"/>
    </row>
    <row r="56" spans="1:11" ht="47.25" customHeight="1">
      <c r="A56" s="86" t="s">
        <v>68</v>
      </c>
      <c r="B56" s="87"/>
      <c r="C56" s="87"/>
      <c r="D56" s="87"/>
      <c r="E56" s="87"/>
      <c r="F56" s="87"/>
      <c r="G56" s="87"/>
      <c r="H56" s="87"/>
      <c r="I56" s="87"/>
      <c r="J56" s="87"/>
      <c r="K56" s="87"/>
    </row>
    <row r="57" spans="1:11" ht="15" customHeight="1">
      <c r="A57" s="45"/>
      <c r="B57" s="45"/>
      <c r="C57" s="45"/>
      <c r="D57" s="45"/>
      <c r="E57" s="45"/>
      <c r="F57" s="45"/>
    </row>
    <row r="58" spans="1:11" ht="102" customHeight="1">
      <c r="A58" s="94" t="s">
        <v>69</v>
      </c>
      <c r="B58" s="87"/>
      <c r="C58" s="87"/>
      <c r="D58" s="87"/>
      <c r="E58" s="87"/>
      <c r="F58" s="87"/>
      <c r="G58" s="87"/>
      <c r="H58" s="87"/>
      <c r="I58" s="87"/>
      <c r="J58" s="87"/>
      <c r="K58" s="87"/>
    </row>
    <row r="59" spans="1:11" ht="11.25" customHeight="1">
      <c r="A59" s="45"/>
      <c r="B59" s="45"/>
      <c r="C59" s="45"/>
      <c r="D59" s="45"/>
      <c r="E59" s="45"/>
      <c r="F59" s="45"/>
    </row>
    <row r="60" spans="1:11" ht="30" customHeight="1">
      <c r="A60" s="87" t="s">
        <v>70</v>
      </c>
      <c r="B60" s="87"/>
      <c r="C60" s="87"/>
      <c r="D60" s="87"/>
      <c r="E60" s="87"/>
      <c r="F60" s="87"/>
      <c r="G60" s="87"/>
      <c r="H60" s="87"/>
      <c r="I60" s="87"/>
      <c r="J60" s="87"/>
      <c r="K60" s="87"/>
    </row>
    <row r="61" spans="1:11" ht="15" customHeight="1">
      <c r="A61" s="45"/>
      <c r="B61" s="45"/>
      <c r="C61" s="45"/>
      <c r="D61" s="45"/>
      <c r="E61" s="45"/>
      <c r="F61" s="45"/>
    </row>
    <row r="62" spans="1:11" ht="89.25" customHeight="1">
      <c r="A62" s="87" t="s">
        <v>71</v>
      </c>
      <c r="B62" s="87"/>
      <c r="C62" s="87"/>
      <c r="D62" s="87"/>
      <c r="E62" s="87"/>
      <c r="F62" s="87"/>
      <c r="G62" s="87"/>
      <c r="H62" s="87"/>
      <c r="I62" s="87"/>
      <c r="J62" s="87"/>
      <c r="K62" s="87"/>
    </row>
    <row r="63" spans="1:11" ht="15" customHeight="1">
      <c r="A63" s="27"/>
      <c r="B63" s="27"/>
      <c r="C63" s="27"/>
      <c r="D63" s="27"/>
      <c r="E63" s="27"/>
      <c r="F63" s="27"/>
      <c r="G63" s="27"/>
      <c r="H63" s="27"/>
      <c r="I63" s="27"/>
      <c r="J63" s="27"/>
      <c r="K63" s="27"/>
    </row>
    <row r="64" spans="1:11" ht="15" customHeight="1">
      <c r="A64" s="87" t="s">
        <v>72</v>
      </c>
      <c r="B64" s="87"/>
      <c r="C64" s="87"/>
      <c r="D64" s="87"/>
      <c r="E64" s="87"/>
      <c r="F64" s="87"/>
      <c r="G64" s="87"/>
      <c r="H64" s="87"/>
      <c r="I64" s="87"/>
      <c r="J64" s="87"/>
      <c r="K64" s="87"/>
    </row>
    <row r="65" spans="1:11" ht="30" customHeight="1">
      <c r="A65" s="87" t="s">
        <v>73</v>
      </c>
      <c r="B65" s="87"/>
      <c r="C65" s="87"/>
      <c r="D65" s="87"/>
      <c r="E65" s="87"/>
      <c r="F65" s="87"/>
      <c r="G65" s="87"/>
      <c r="H65" s="87"/>
      <c r="I65" s="87"/>
      <c r="J65" s="87"/>
      <c r="K65" s="87"/>
    </row>
    <row r="66" spans="1:11" ht="43.5" customHeight="1">
      <c r="A66" s="87" t="s">
        <v>74</v>
      </c>
      <c r="B66" s="87"/>
      <c r="C66" s="87"/>
      <c r="D66" s="87"/>
      <c r="E66" s="87"/>
      <c r="F66" s="87"/>
      <c r="G66" s="87"/>
      <c r="H66" s="87"/>
      <c r="I66" s="87"/>
      <c r="J66" s="87"/>
      <c r="K66" s="87"/>
    </row>
    <row r="67" spans="1:11" ht="43.5" customHeight="1">
      <c r="A67" s="87" t="s">
        <v>75</v>
      </c>
      <c r="B67" s="87"/>
      <c r="C67" s="87"/>
      <c r="D67" s="87"/>
      <c r="E67" s="87"/>
      <c r="F67" s="87"/>
      <c r="G67" s="87"/>
      <c r="H67" s="87"/>
      <c r="I67" s="87"/>
      <c r="J67" s="87"/>
      <c r="K67" s="87"/>
    </row>
    <row r="68" spans="1:11" ht="15" customHeight="1">
      <c r="A68" s="87" t="s">
        <v>76</v>
      </c>
      <c r="B68" s="87"/>
      <c r="C68" s="87"/>
      <c r="D68" s="87"/>
      <c r="E68" s="87"/>
      <c r="F68" s="87"/>
      <c r="G68" s="87"/>
      <c r="H68" s="87"/>
      <c r="I68" s="87"/>
      <c r="J68" s="87"/>
      <c r="K68" s="87"/>
    </row>
    <row r="69" spans="1:11" ht="35.25" customHeight="1">
      <c r="A69" s="87" t="s">
        <v>77</v>
      </c>
      <c r="B69" s="87"/>
      <c r="C69" s="87"/>
      <c r="D69" s="87"/>
      <c r="E69" s="87"/>
      <c r="F69" s="87"/>
      <c r="G69" s="87"/>
      <c r="H69" s="87"/>
      <c r="I69" s="87"/>
      <c r="J69" s="87"/>
      <c r="K69" s="87"/>
    </row>
    <row r="70" spans="1:11" ht="64.5" customHeight="1">
      <c r="A70" s="87" t="s">
        <v>78</v>
      </c>
      <c r="B70" s="87"/>
      <c r="C70" s="87"/>
      <c r="D70" s="87"/>
      <c r="E70" s="87"/>
      <c r="F70" s="87"/>
      <c r="G70" s="87"/>
      <c r="H70" s="87"/>
      <c r="I70" s="87"/>
      <c r="J70" s="87"/>
      <c r="K70" s="87"/>
    </row>
    <row r="71" spans="1:11" ht="30" customHeight="1">
      <c r="A71" s="87" t="s">
        <v>79</v>
      </c>
      <c r="B71" s="87"/>
      <c r="C71" s="87"/>
      <c r="D71" s="87"/>
      <c r="E71" s="87"/>
      <c r="F71" s="87"/>
      <c r="G71" s="87"/>
      <c r="H71" s="87"/>
      <c r="I71" s="87"/>
      <c r="J71" s="87"/>
      <c r="K71" s="87"/>
    </row>
    <row r="72" spans="1:11" ht="33.75" customHeight="1">
      <c r="A72" s="87" t="s">
        <v>80</v>
      </c>
      <c r="B72" s="87"/>
      <c r="C72" s="87"/>
      <c r="D72" s="87"/>
      <c r="E72" s="87"/>
      <c r="F72" s="87"/>
      <c r="G72" s="87"/>
      <c r="H72" s="87"/>
      <c r="I72" s="87"/>
      <c r="J72" s="87"/>
      <c r="K72" s="87"/>
    </row>
    <row r="73" spans="1:11" ht="15" customHeight="1">
      <c r="A73" s="28"/>
      <c r="B73" s="45"/>
      <c r="C73" s="45"/>
      <c r="D73" s="45"/>
      <c r="E73" s="45"/>
      <c r="F73" s="45"/>
    </row>
    <row r="74" spans="1:11" ht="45" customHeight="1">
      <c r="A74" s="87" t="s">
        <v>81</v>
      </c>
      <c r="B74" s="87"/>
      <c r="C74" s="87"/>
      <c r="D74" s="87"/>
      <c r="E74" s="87"/>
      <c r="F74" s="87"/>
      <c r="G74" s="87"/>
      <c r="H74" s="87"/>
      <c r="I74" s="87"/>
      <c r="J74" s="87"/>
      <c r="K74" s="87"/>
    </row>
    <row r="75" spans="1:11" ht="15" customHeight="1">
      <c r="A75" s="45"/>
      <c r="B75" s="45"/>
      <c r="C75" s="45"/>
      <c r="D75" s="45"/>
      <c r="E75" s="45"/>
      <c r="F75" s="45"/>
    </row>
    <row r="76" spans="1:11" ht="61.5" customHeight="1">
      <c r="A76" s="87" t="s">
        <v>82</v>
      </c>
      <c r="B76" s="87"/>
      <c r="C76" s="87"/>
      <c r="D76" s="87"/>
      <c r="E76" s="87"/>
      <c r="F76" s="87"/>
      <c r="G76" s="87"/>
      <c r="H76" s="87"/>
      <c r="I76" s="87"/>
      <c r="J76" s="87"/>
      <c r="K76" s="87"/>
    </row>
    <row r="77" spans="1:11" ht="15" customHeight="1">
      <c r="A77" s="45"/>
      <c r="B77" s="45"/>
      <c r="C77" s="45"/>
      <c r="D77" s="45"/>
      <c r="E77" s="45"/>
      <c r="F77" s="45"/>
    </row>
    <row r="78" spans="1:11" ht="60" customHeight="1">
      <c r="A78" s="94" t="s">
        <v>83</v>
      </c>
      <c r="B78" s="87"/>
      <c r="C78" s="87"/>
      <c r="D78" s="87"/>
      <c r="E78" s="87"/>
      <c r="F78" s="87"/>
      <c r="G78" s="87"/>
      <c r="H78" s="87"/>
      <c r="I78" s="87"/>
      <c r="J78" s="87"/>
      <c r="K78" s="87"/>
    </row>
    <row r="79" spans="1:11" ht="15" customHeight="1">
      <c r="A79" s="45"/>
      <c r="B79" s="45"/>
      <c r="C79" s="45"/>
      <c r="D79" s="45"/>
      <c r="E79" s="45"/>
      <c r="F79" s="45"/>
    </row>
    <row r="80" spans="1:11" ht="138" customHeight="1">
      <c r="A80" s="87" t="s">
        <v>84</v>
      </c>
      <c r="B80" s="87"/>
      <c r="C80" s="87"/>
      <c r="D80" s="87"/>
      <c r="E80" s="87"/>
      <c r="F80" s="87"/>
      <c r="G80" s="87"/>
      <c r="H80" s="87"/>
      <c r="I80" s="87"/>
      <c r="J80" s="87"/>
      <c r="K80" s="87"/>
    </row>
    <row r="81" spans="1:11" ht="7.5" customHeight="1">
      <c r="A81" s="50"/>
      <c r="B81" s="45"/>
      <c r="C81" s="45"/>
      <c r="D81" s="45"/>
      <c r="E81" s="45"/>
      <c r="F81" s="45"/>
    </row>
    <row r="82" spans="1:11" ht="72" customHeight="1">
      <c r="A82" s="94" t="s">
        <v>85</v>
      </c>
      <c r="B82" s="87"/>
      <c r="C82" s="87"/>
      <c r="D82" s="87"/>
      <c r="E82" s="87"/>
      <c r="F82" s="87"/>
      <c r="G82" s="87"/>
      <c r="H82" s="87"/>
      <c r="I82" s="87"/>
      <c r="J82" s="87"/>
      <c r="K82" s="87"/>
    </row>
    <row r="83" spans="1:11" ht="12" customHeight="1">
      <c r="A83" s="45"/>
      <c r="B83" s="45"/>
      <c r="C83" s="45"/>
      <c r="D83" s="45"/>
      <c r="E83" s="45"/>
      <c r="F83" s="45"/>
    </row>
    <row r="84" spans="1:11" ht="147" customHeight="1">
      <c r="A84" s="86" t="s">
        <v>86</v>
      </c>
      <c r="B84" s="87"/>
      <c r="C84" s="87"/>
      <c r="D84" s="87"/>
      <c r="E84" s="87"/>
      <c r="F84" s="87"/>
      <c r="G84" s="87"/>
      <c r="H84" s="87"/>
      <c r="I84" s="87"/>
      <c r="J84" s="87"/>
      <c r="K84" s="87"/>
    </row>
    <row r="85" spans="1:11">
      <c r="A85" s="33"/>
      <c r="B85" s="32"/>
      <c r="C85" s="32"/>
      <c r="D85" s="32"/>
      <c r="E85" s="32"/>
      <c r="F85" s="32"/>
      <c r="G85" s="32"/>
      <c r="H85" s="32"/>
      <c r="I85" s="32"/>
      <c r="J85" s="32"/>
      <c r="K85" s="32"/>
    </row>
    <row r="86" spans="1:11" ht="62.25" customHeight="1">
      <c r="A86" s="87" t="s">
        <v>87</v>
      </c>
      <c r="B86" s="87"/>
      <c r="C86" s="87"/>
      <c r="D86" s="87"/>
      <c r="E86" s="87"/>
      <c r="F86" s="87"/>
      <c r="G86" s="87"/>
      <c r="H86" s="87"/>
      <c r="I86" s="87"/>
      <c r="J86" s="87"/>
      <c r="K86" s="87"/>
    </row>
    <row r="87" spans="1:11" ht="7.5" customHeight="1">
      <c r="A87" s="28"/>
      <c r="B87" s="45"/>
      <c r="C87" s="45"/>
      <c r="D87" s="45"/>
      <c r="E87" s="45"/>
      <c r="F87" s="45"/>
    </row>
    <row r="88" spans="1:11" ht="45" customHeight="1">
      <c r="A88" s="87" t="s">
        <v>88</v>
      </c>
      <c r="B88" s="87"/>
      <c r="C88" s="87"/>
      <c r="D88" s="87"/>
      <c r="E88" s="87"/>
      <c r="F88" s="87"/>
      <c r="G88" s="87"/>
      <c r="H88" s="87"/>
      <c r="I88" s="87"/>
      <c r="J88" s="87"/>
      <c r="K88" s="87"/>
    </row>
    <row r="89" spans="1:11" ht="6" customHeight="1">
      <c r="A89" s="28"/>
      <c r="B89" s="45"/>
      <c r="C89" s="45"/>
      <c r="D89" s="45"/>
      <c r="E89" s="45"/>
      <c r="F89" s="45"/>
    </row>
    <row r="90" spans="1:11" ht="83.25" customHeight="1">
      <c r="A90" s="92" t="s">
        <v>89</v>
      </c>
      <c r="B90" s="93"/>
      <c r="C90" s="93"/>
      <c r="D90" s="93"/>
      <c r="E90" s="93"/>
      <c r="F90" s="93"/>
      <c r="G90" s="93"/>
      <c r="H90" s="93"/>
      <c r="I90" s="93"/>
      <c r="J90" s="93"/>
      <c r="K90" s="93"/>
    </row>
    <row r="91" spans="1:11" ht="15" customHeight="1">
      <c r="B91" s="45"/>
      <c r="C91" s="45"/>
      <c r="D91" s="45"/>
      <c r="E91" s="45"/>
      <c r="F91" s="45"/>
    </row>
    <row r="92" spans="1:11" ht="45" customHeight="1">
      <c r="A92" s="87" t="s">
        <v>90</v>
      </c>
      <c r="B92" s="87"/>
      <c r="C92" s="87"/>
      <c r="D92" s="87"/>
      <c r="E92" s="87"/>
      <c r="F92" s="87"/>
      <c r="G92" s="87"/>
      <c r="H92" s="87"/>
      <c r="I92" s="87"/>
      <c r="J92" s="87"/>
      <c r="K92" s="87"/>
    </row>
    <row r="93" spans="1:11" ht="30" customHeight="1">
      <c r="A93" s="87" t="s">
        <v>91</v>
      </c>
      <c r="B93" s="87"/>
      <c r="C93" s="87"/>
      <c r="D93" s="87"/>
      <c r="E93" s="87"/>
      <c r="F93" s="87"/>
      <c r="G93" s="87"/>
      <c r="H93" s="87"/>
      <c r="I93" s="87"/>
      <c r="J93" s="87"/>
      <c r="K93" s="87"/>
    </row>
    <row r="94" spans="1:11" ht="45" customHeight="1">
      <c r="A94" s="88" t="s">
        <v>92</v>
      </c>
      <c r="B94" s="88"/>
      <c r="C94" s="88"/>
      <c r="D94" s="88"/>
      <c r="E94" s="88"/>
      <c r="F94" s="88"/>
      <c r="G94" s="88"/>
      <c r="H94" s="88"/>
      <c r="I94" s="88"/>
      <c r="J94" s="88"/>
      <c r="K94" s="88"/>
    </row>
    <row r="95" spans="1:11" ht="61.5" customHeight="1">
      <c r="A95" s="88" t="s">
        <v>93</v>
      </c>
      <c r="B95" s="88"/>
      <c r="C95" s="88"/>
      <c r="D95" s="88"/>
      <c r="E95" s="88"/>
      <c r="F95" s="88"/>
      <c r="G95" s="88"/>
      <c r="H95" s="88"/>
      <c r="I95" s="88"/>
      <c r="J95" s="88"/>
      <c r="K95" s="88"/>
    </row>
    <row r="96" spans="1:11" ht="30" customHeight="1">
      <c r="A96" s="88" t="s">
        <v>94</v>
      </c>
      <c r="B96" s="88"/>
      <c r="C96" s="88"/>
      <c r="D96" s="88"/>
      <c r="E96" s="88"/>
      <c r="F96" s="88"/>
      <c r="G96" s="88"/>
      <c r="H96" s="88"/>
      <c r="I96" s="88"/>
      <c r="J96" s="88"/>
      <c r="K96" s="88"/>
    </row>
    <row r="97" spans="1:11" ht="45" customHeight="1">
      <c r="A97" s="88" t="s">
        <v>95</v>
      </c>
      <c r="B97" s="88"/>
      <c r="C97" s="88"/>
      <c r="D97" s="88"/>
      <c r="E97" s="88"/>
      <c r="F97" s="88"/>
      <c r="G97" s="88"/>
      <c r="H97" s="88"/>
      <c r="I97" s="88"/>
      <c r="J97" s="88"/>
      <c r="K97" s="88"/>
    </row>
    <row r="98" spans="1:11" ht="30" customHeight="1">
      <c r="A98" s="87" t="s">
        <v>96</v>
      </c>
      <c r="B98" s="87"/>
      <c r="C98" s="87"/>
      <c r="D98" s="87"/>
      <c r="E98" s="87"/>
      <c r="F98" s="87"/>
      <c r="G98" s="87"/>
      <c r="H98" s="87"/>
      <c r="I98" s="87"/>
      <c r="J98" s="87"/>
      <c r="K98" s="87"/>
    </row>
    <row r="99" spans="1:11" ht="30" customHeight="1">
      <c r="A99" s="88" t="s">
        <v>97</v>
      </c>
      <c r="B99" s="88"/>
      <c r="C99" s="88"/>
      <c r="D99" s="88"/>
      <c r="E99" s="88"/>
      <c r="F99" s="88"/>
      <c r="G99" s="88"/>
      <c r="H99" s="88"/>
      <c r="I99" s="88"/>
      <c r="J99" s="88"/>
      <c r="K99" s="88"/>
    </row>
    <row r="100" spans="1:11" ht="51" customHeight="1">
      <c r="A100" s="88" t="s">
        <v>98</v>
      </c>
      <c r="B100" s="88"/>
      <c r="C100" s="88"/>
      <c r="D100" s="88"/>
      <c r="E100" s="88"/>
      <c r="F100" s="88"/>
      <c r="G100" s="88"/>
      <c r="H100" s="88"/>
      <c r="I100" s="88"/>
      <c r="J100" s="88"/>
      <c r="K100" s="88"/>
    </row>
    <row r="101" spans="1:11" ht="33" customHeight="1">
      <c r="A101" s="88" t="s">
        <v>99</v>
      </c>
      <c r="B101" s="88"/>
      <c r="C101" s="88"/>
      <c r="D101" s="88"/>
      <c r="E101" s="88"/>
      <c r="F101" s="88"/>
      <c r="G101" s="88"/>
      <c r="H101" s="88"/>
      <c r="I101" s="88"/>
      <c r="J101" s="88"/>
      <c r="K101" s="88"/>
    </row>
    <row r="102" spans="1:11" ht="51.75" customHeight="1">
      <c r="A102" s="87" t="s">
        <v>100</v>
      </c>
      <c r="B102" s="87"/>
      <c r="C102" s="87"/>
      <c r="D102" s="87"/>
      <c r="E102" s="87"/>
      <c r="F102" s="87"/>
      <c r="G102" s="87"/>
      <c r="H102" s="87"/>
      <c r="I102" s="87"/>
      <c r="J102" s="87"/>
      <c r="K102" s="87"/>
    </row>
    <row r="103" spans="1:11" ht="69" customHeight="1">
      <c r="A103" s="87" t="s">
        <v>101</v>
      </c>
      <c r="B103" s="87"/>
      <c r="C103" s="87"/>
      <c r="D103" s="87"/>
      <c r="E103" s="87"/>
      <c r="F103" s="87"/>
      <c r="G103" s="87"/>
      <c r="H103" s="87"/>
      <c r="I103" s="87"/>
      <c r="J103" s="87"/>
      <c r="K103" s="87"/>
    </row>
    <row r="104" spans="1:11" ht="135" customHeight="1">
      <c r="A104" s="87" t="s">
        <v>102</v>
      </c>
      <c r="B104" s="87"/>
      <c r="C104" s="87"/>
      <c r="D104" s="87"/>
      <c r="E104" s="87"/>
      <c r="F104" s="87"/>
      <c r="G104" s="87"/>
      <c r="H104" s="87"/>
      <c r="I104" s="87"/>
      <c r="J104" s="87"/>
      <c r="K104" s="87"/>
    </row>
    <row r="105" spans="1:11" ht="69" customHeight="1">
      <c r="A105" s="87" t="s">
        <v>103</v>
      </c>
      <c r="B105" s="87"/>
      <c r="C105" s="87"/>
      <c r="D105" s="87"/>
      <c r="E105" s="87"/>
      <c r="F105" s="87"/>
      <c r="G105" s="87"/>
      <c r="H105" s="87"/>
      <c r="I105" s="87"/>
      <c r="J105" s="87"/>
      <c r="K105" s="87"/>
    </row>
    <row r="106" spans="1:11" ht="36.75" customHeight="1">
      <c r="A106" s="87" t="s">
        <v>104</v>
      </c>
      <c r="B106" s="87"/>
      <c r="C106" s="87"/>
      <c r="D106" s="87"/>
      <c r="E106" s="87"/>
      <c r="F106" s="87"/>
      <c r="G106" s="87"/>
      <c r="H106" s="87"/>
      <c r="I106" s="87"/>
      <c r="J106" s="87"/>
      <c r="K106" s="87"/>
    </row>
    <row r="107" spans="1:11" ht="9.75" customHeight="1">
      <c r="B107" s="45"/>
      <c r="C107" s="45"/>
      <c r="D107" s="45"/>
      <c r="E107" s="45"/>
      <c r="F107" s="45"/>
    </row>
    <row r="108" spans="1:11" ht="18" customHeight="1">
      <c r="A108" s="28" t="s">
        <v>105</v>
      </c>
      <c r="B108" s="45"/>
      <c r="C108" s="45"/>
      <c r="D108" s="45"/>
      <c r="E108" s="45"/>
      <c r="F108" s="45"/>
    </row>
    <row r="109" spans="1:11" ht="44.25" customHeight="1">
      <c r="A109" s="87" t="s">
        <v>106</v>
      </c>
      <c r="B109" s="87"/>
      <c r="C109" s="87"/>
      <c r="D109" s="87"/>
      <c r="E109" s="87"/>
      <c r="F109" s="87"/>
      <c r="G109" s="87"/>
      <c r="H109" s="87"/>
      <c r="I109" s="87"/>
      <c r="J109" s="87"/>
      <c r="K109" s="87"/>
    </row>
    <row r="110" spans="1:11" ht="150.75" customHeight="1">
      <c r="A110" s="87" t="s">
        <v>107</v>
      </c>
      <c r="B110" s="87"/>
      <c r="C110" s="87"/>
      <c r="D110" s="87"/>
      <c r="E110" s="87"/>
      <c r="F110" s="87"/>
      <c r="G110" s="87"/>
      <c r="H110" s="87"/>
      <c r="I110" s="87"/>
      <c r="J110" s="87"/>
      <c r="K110" s="87"/>
    </row>
    <row r="111" spans="1:11" ht="326.25" customHeight="1">
      <c r="A111" s="91" t="s">
        <v>108</v>
      </c>
      <c r="B111" s="91"/>
      <c r="C111" s="91"/>
      <c r="D111" s="91"/>
      <c r="E111" s="91"/>
      <c r="F111" s="91"/>
      <c r="G111" s="91"/>
      <c r="H111" s="91"/>
      <c r="I111" s="91"/>
      <c r="J111" s="91"/>
      <c r="K111" s="91"/>
    </row>
    <row r="112" spans="1:11" ht="236.25" customHeight="1">
      <c r="A112" s="91" t="s">
        <v>109</v>
      </c>
      <c r="B112" s="91"/>
      <c r="C112" s="91"/>
      <c r="D112" s="91"/>
      <c r="E112" s="91"/>
      <c r="F112" s="91"/>
      <c r="G112" s="91"/>
      <c r="H112" s="91"/>
      <c r="I112" s="91"/>
      <c r="J112" s="91"/>
      <c r="K112" s="91"/>
    </row>
    <row r="113" spans="1:11" ht="146.25" customHeight="1">
      <c r="A113" s="86" t="s">
        <v>110</v>
      </c>
      <c r="B113" s="87"/>
      <c r="C113" s="87"/>
      <c r="D113" s="87"/>
      <c r="E113" s="87"/>
      <c r="F113" s="87"/>
      <c r="G113" s="87"/>
      <c r="H113" s="87"/>
      <c r="I113" s="87"/>
      <c r="J113" s="87"/>
      <c r="K113" s="87"/>
    </row>
    <row r="114" spans="1:11" ht="154.5" customHeight="1">
      <c r="A114" s="87" t="s">
        <v>111</v>
      </c>
      <c r="B114" s="87"/>
      <c r="C114" s="87"/>
      <c r="D114" s="87"/>
      <c r="E114" s="87"/>
      <c r="F114" s="87"/>
      <c r="G114" s="87"/>
      <c r="H114" s="87"/>
      <c r="I114" s="87"/>
      <c r="J114" s="87"/>
      <c r="K114" s="87"/>
    </row>
    <row r="115" spans="1:11" ht="45" customHeight="1">
      <c r="A115" s="86" t="s">
        <v>112</v>
      </c>
      <c r="B115" s="87"/>
      <c r="C115" s="87"/>
      <c r="D115" s="87"/>
      <c r="E115" s="87"/>
      <c r="F115" s="87"/>
      <c r="G115" s="87"/>
      <c r="H115" s="87"/>
      <c r="I115" s="87"/>
      <c r="J115" s="87"/>
      <c r="K115" s="87"/>
    </row>
    <row r="116" spans="1:11" ht="96.75" customHeight="1">
      <c r="A116" s="86" t="s">
        <v>113</v>
      </c>
      <c r="B116" s="87"/>
      <c r="C116" s="87"/>
      <c r="D116" s="87"/>
      <c r="E116" s="87"/>
      <c r="F116" s="87"/>
      <c r="G116" s="87"/>
      <c r="H116" s="87"/>
      <c r="I116" s="87"/>
      <c r="J116" s="87"/>
      <c r="K116" s="87"/>
    </row>
    <row r="117" spans="1:11" ht="93.75" customHeight="1">
      <c r="A117" s="87" t="s">
        <v>114</v>
      </c>
      <c r="B117" s="87"/>
      <c r="C117" s="87"/>
      <c r="D117" s="87"/>
      <c r="E117" s="87"/>
      <c r="F117" s="87"/>
      <c r="G117" s="87"/>
      <c r="H117" s="87"/>
      <c r="I117" s="87"/>
      <c r="J117" s="87"/>
      <c r="K117" s="87"/>
    </row>
    <row r="118" spans="1:11" ht="117.75" customHeight="1">
      <c r="A118" s="87" t="s">
        <v>115</v>
      </c>
      <c r="B118" s="87"/>
      <c r="C118" s="87"/>
      <c r="D118" s="87"/>
      <c r="E118" s="87"/>
      <c r="F118" s="87"/>
      <c r="G118" s="87"/>
      <c r="H118" s="87"/>
      <c r="I118" s="87"/>
      <c r="J118" s="87"/>
      <c r="K118" s="87"/>
    </row>
    <row r="119" spans="1:11" ht="60" customHeight="1">
      <c r="A119" s="87" t="s">
        <v>116</v>
      </c>
      <c r="B119" s="87"/>
      <c r="C119" s="87"/>
      <c r="D119" s="87"/>
      <c r="E119" s="87"/>
      <c r="F119" s="87"/>
      <c r="G119" s="87"/>
      <c r="H119" s="87"/>
      <c r="I119" s="87"/>
      <c r="J119" s="87"/>
      <c r="K119" s="87"/>
    </row>
    <row r="120" spans="1:11" ht="93" customHeight="1">
      <c r="A120" s="87" t="s">
        <v>117</v>
      </c>
      <c r="B120" s="87"/>
      <c r="C120" s="87"/>
      <c r="D120" s="87"/>
      <c r="E120" s="87"/>
      <c r="F120" s="87"/>
      <c r="G120" s="87"/>
      <c r="H120" s="87"/>
      <c r="I120" s="87"/>
      <c r="J120" s="87"/>
      <c r="K120" s="87"/>
    </row>
    <row r="121" spans="1:11" ht="90.75" customHeight="1">
      <c r="A121" s="87" t="s">
        <v>118</v>
      </c>
      <c r="B121" s="87"/>
      <c r="C121" s="87"/>
      <c r="D121" s="87"/>
      <c r="E121" s="87"/>
      <c r="F121" s="87"/>
      <c r="G121" s="87"/>
      <c r="H121" s="87"/>
      <c r="I121" s="87"/>
      <c r="J121" s="87"/>
      <c r="K121" s="87"/>
    </row>
    <row r="122" spans="1:11" ht="21.75" customHeight="1">
      <c r="A122" s="87" t="s">
        <v>119</v>
      </c>
      <c r="B122" s="87"/>
      <c r="C122" s="87"/>
      <c r="D122" s="87"/>
      <c r="E122" s="87"/>
      <c r="F122" s="87"/>
      <c r="G122" s="87"/>
      <c r="H122" s="87"/>
      <c r="I122" s="87"/>
      <c r="J122" s="87"/>
      <c r="K122" s="87"/>
    </row>
    <row r="123" spans="1:11" ht="18" customHeight="1">
      <c r="A123" s="87" t="s">
        <v>120</v>
      </c>
      <c r="B123" s="87"/>
      <c r="C123" s="87"/>
      <c r="D123" s="87"/>
      <c r="E123" s="87"/>
      <c r="F123" s="87"/>
      <c r="G123" s="87"/>
      <c r="H123" s="87"/>
      <c r="I123" s="87"/>
      <c r="J123" s="87"/>
      <c r="K123" s="87"/>
    </row>
    <row r="124" spans="1:11" ht="31.5" customHeight="1">
      <c r="A124" s="90" t="s">
        <v>121</v>
      </c>
      <c r="B124" s="90"/>
      <c r="C124" s="90"/>
      <c r="D124" s="90"/>
      <c r="E124" s="90"/>
      <c r="F124" s="90"/>
      <c r="G124" s="90"/>
      <c r="H124" s="90"/>
      <c r="I124" s="90"/>
      <c r="J124" s="90"/>
      <c r="K124" s="90"/>
    </row>
    <row r="125" spans="1:11" ht="47.25" customHeight="1">
      <c r="A125" s="88" t="s">
        <v>122</v>
      </c>
      <c r="B125" s="88"/>
      <c r="C125" s="88"/>
      <c r="D125" s="88"/>
      <c r="E125" s="88"/>
      <c r="F125" s="88"/>
      <c r="G125" s="88"/>
      <c r="H125" s="88"/>
      <c r="I125" s="88"/>
      <c r="J125" s="88"/>
      <c r="K125" s="88"/>
    </row>
    <row r="126" spans="1:11" ht="15" customHeight="1">
      <c r="A126" s="51"/>
      <c r="B126" s="51"/>
      <c r="C126" s="51"/>
      <c r="D126" s="51"/>
      <c r="E126" s="51"/>
      <c r="F126" s="51"/>
      <c r="G126" s="51"/>
      <c r="H126" s="51"/>
      <c r="I126" s="51"/>
      <c r="J126" s="51"/>
      <c r="K126" s="51"/>
    </row>
    <row r="127" spans="1:11" ht="90" customHeight="1">
      <c r="A127" s="87" t="s">
        <v>123</v>
      </c>
      <c r="B127" s="87"/>
      <c r="C127" s="87"/>
      <c r="D127" s="87"/>
      <c r="E127" s="87"/>
      <c r="F127" s="87"/>
      <c r="G127" s="87"/>
      <c r="H127" s="87"/>
      <c r="I127" s="87"/>
      <c r="J127" s="87"/>
      <c r="K127" s="87"/>
    </row>
    <row r="128" spans="1:11" ht="36.75" customHeight="1">
      <c r="A128" s="87" t="s">
        <v>124</v>
      </c>
      <c r="B128" s="87"/>
      <c r="C128" s="87"/>
      <c r="D128" s="87"/>
      <c r="E128" s="87"/>
      <c r="F128" s="87"/>
      <c r="G128" s="87"/>
      <c r="H128" s="87"/>
      <c r="I128" s="87"/>
      <c r="J128" s="87"/>
      <c r="K128" s="87"/>
    </row>
    <row r="129" spans="1:11" ht="45.75" customHeight="1">
      <c r="A129" s="87" t="s">
        <v>125</v>
      </c>
      <c r="B129" s="87"/>
      <c r="C129" s="87"/>
      <c r="D129" s="87"/>
      <c r="E129" s="87"/>
      <c r="F129" s="87"/>
      <c r="G129" s="87"/>
      <c r="H129" s="87"/>
      <c r="I129" s="87"/>
      <c r="J129" s="87"/>
      <c r="K129" s="87"/>
    </row>
    <row r="130" spans="1:11" ht="19.5" customHeight="1">
      <c r="A130" s="89" t="s">
        <v>126</v>
      </c>
      <c r="B130" s="89"/>
      <c r="C130" s="89"/>
      <c r="D130" s="89"/>
      <c r="E130" s="89"/>
      <c r="F130" s="89"/>
      <c r="G130" s="89"/>
      <c r="H130" s="89"/>
      <c r="I130" s="89"/>
      <c r="J130" s="89"/>
      <c r="K130" s="89"/>
    </row>
    <row r="131" spans="1:11" ht="104.25" customHeight="1">
      <c r="A131" s="87" t="s">
        <v>127</v>
      </c>
      <c r="B131" s="87"/>
      <c r="C131" s="87"/>
      <c r="D131" s="87"/>
      <c r="E131" s="87"/>
      <c r="F131" s="87"/>
      <c r="G131" s="87"/>
      <c r="H131" s="87"/>
      <c r="I131" s="87"/>
      <c r="J131" s="87"/>
      <c r="K131" s="87"/>
    </row>
    <row r="132" spans="1:11" ht="87" customHeight="1">
      <c r="A132" s="87" t="s">
        <v>128</v>
      </c>
      <c r="B132" s="87"/>
      <c r="C132" s="87"/>
      <c r="D132" s="87"/>
      <c r="E132" s="87"/>
      <c r="F132" s="87"/>
      <c r="G132" s="87"/>
      <c r="H132" s="87"/>
      <c r="I132" s="87"/>
      <c r="J132" s="87"/>
      <c r="K132" s="87"/>
    </row>
    <row r="133" spans="1:11" ht="86.25" customHeight="1">
      <c r="A133" s="87" t="s">
        <v>129</v>
      </c>
      <c r="B133" s="87"/>
      <c r="C133" s="87"/>
      <c r="D133" s="87"/>
      <c r="E133" s="87"/>
      <c r="F133" s="87"/>
      <c r="G133" s="87"/>
      <c r="H133" s="87"/>
      <c r="I133" s="87"/>
      <c r="J133" s="87"/>
      <c r="K133" s="87"/>
    </row>
    <row r="134" spans="1:11" ht="63" customHeight="1">
      <c r="A134" s="87" t="s">
        <v>130</v>
      </c>
      <c r="B134" s="87"/>
      <c r="C134" s="87"/>
      <c r="D134" s="87"/>
      <c r="E134" s="87"/>
      <c r="F134" s="87"/>
      <c r="G134" s="87"/>
      <c r="H134" s="87"/>
      <c r="I134" s="87"/>
      <c r="J134" s="87"/>
      <c r="K134" s="87"/>
    </row>
    <row r="135" spans="1:11" ht="15" customHeight="1">
      <c r="A135" s="50"/>
      <c r="B135" s="45"/>
      <c r="C135" s="45"/>
      <c r="D135" s="45"/>
      <c r="E135" s="45"/>
      <c r="F135" s="45"/>
    </row>
    <row r="136" spans="1:11" ht="76.5" customHeight="1">
      <c r="A136" s="86" t="s">
        <v>131</v>
      </c>
      <c r="B136" s="87"/>
      <c r="C136" s="87"/>
      <c r="D136" s="87"/>
      <c r="E136" s="87"/>
      <c r="F136" s="87"/>
      <c r="G136" s="87"/>
      <c r="H136" s="87"/>
      <c r="I136" s="87"/>
      <c r="J136" s="87"/>
      <c r="K136" s="87"/>
    </row>
    <row r="137" spans="1:11" ht="15" customHeight="1">
      <c r="A137" s="45"/>
      <c r="B137" s="45"/>
      <c r="C137" s="45"/>
      <c r="D137" s="45"/>
      <c r="E137" s="45"/>
      <c r="F137" s="45"/>
    </row>
    <row r="138" spans="1:11" ht="45" customHeight="1">
      <c r="A138" s="87" t="s">
        <v>132</v>
      </c>
      <c r="B138" s="87"/>
      <c r="C138" s="87"/>
      <c r="D138" s="87"/>
      <c r="E138" s="87"/>
      <c r="F138" s="87"/>
      <c r="G138" s="87"/>
      <c r="H138" s="87"/>
      <c r="I138" s="87"/>
      <c r="J138" s="87"/>
      <c r="K138" s="87"/>
    </row>
    <row r="139" spans="1:11" ht="15" customHeight="1">
      <c r="A139" s="29"/>
      <c r="B139" s="24"/>
      <c r="C139" s="24"/>
      <c r="D139" s="24"/>
      <c r="E139" s="24"/>
      <c r="F139" s="24"/>
      <c r="G139" s="24"/>
      <c r="H139" s="24"/>
      <c r="I139" s="24"/>
      <c r="J139" s="24"/>
      <c r="K139" s="24"/>
    </row>
    <row r="140" spans="1:11" ht="30" customHeight="1">
      <c r="A140" s="87" t="s">
        <v>133</v>
      </c>
      <c r="B140" s="87"/>
      <c r="C140" s="87"/>
      <c r="D140" s="87"/>
      <c r="E140" s="87"/>
      <c r="F140" s="87"/>
      <c r="G140" s="87"/>
      <c r="H140" s="87"/>
      <c r="I140" s="87"/>
      <c r="J140" s="87"/>
      <c r="K140" s="87"/>
    </row>
    <row r="141" spans="1:11" ht="30" customHeight="1">
      <c r="A141" s="87" t="s">
        <v>134</v>
      </c>
      <c r="B141" s="87"/>
      <c r="C141" s="87"/>
      <c r="D141" s="87"/>
      <c r="E141" s="87"/>
      <c r="F141" s="87"/>
      <c r="G141" s="87"/>
      <c r="H141" s="87"/>
      <c r="I141" s="87"/>
      <c r="J141" s="87"/>
      <c r="K141" s="87"/>
    </row>
    <row r="142" spans="1:11" ht="15" customHeight="1">
      <c r="A142" s="30" t="s">
        <v>135</v>
      </c>
      <c r="B142" s="31"/>
      <c r="C142" s="31"/>
      <c r="D142" s="31"/>
      <c r="E142" s="31"/>
      <c r="F142" s="31"/>
      <c r="G142" s="31"/>
      <c r="H142" s="31"/>
      <c r="I142" s="31"/>
      <c r="J142" s="31"/>
      <c r="K142" s="31"/>
    </row>
    <row r="143" spans="1:11" ht="15" customHeight="1">
      <c r="A143" s="88" t="s">
        <v>136</v>
      </c>
      <c r="B143" s="88"/>
      <c r="C143" s="88"/>
      <c r="D143" s="88"/>
      <c r="E143" s="88"/>
      <c r="F143" s="88"/>
      <c r="G143" s="88"/>
      <c r="H143" s="88"/>
      <c r="I143" s="88"/>
      <c r="J143" s="88"/>
      <c r="K143" s="88"/>
    </row>
    <row r="144" spans="1:11" ht="15" customHeight="1">
      <c r="A144" s="88" t="s">
        <v>137</v>
      </c>
      <c r="B144" s="88"/>
      <c r="C144" s="88"/>
      <c r="D144" s="88"/>
      <c r="E144" s="88"/>
      <c r="F144" s="88"/>
      <c r="G144" s="88"/>
      <c r="H144" s="88"/>
      <c r="I144" s="88"/>
      <c r="J144" s="88"/>
      <c r="K144" s="88"/>
    </row>
    <row r="145" spans="1:11" ht="30" customHeight="1">
      <c r="A145" s="88" t="s">
        <v>138</v>
      </c>
      <c r="B145" s="88"/>
      <c r="C145" s="88"/>
      <c r="D145" s="88"/>
      <c r="E145" s="88"/>
      <c r="F145" s="88"/>
      <c r="G145" s="88"/>
      <c r="H145" s="88"/>
      <c r="I145" s="88"/>
      <c r="J145" s="88"/>
      <c r="K145" s="88"/>
    </row>
    <row r="146" spans="1:11" ht="15" customHeight="1">
      <c r="A146" s="88" t="s">
        <v>139</v>
      </c>
      <c r="B146" s="88"/>
      <c r="C146" s="88"/>
      <c r="D146" s="88"/>
      <c r="E146" s="88"/>
      <c r="F146" s="88"/>
      <c r="G146" s="88"/>
      <c r="H146" s="88"/>
      <c r="I146" s="88"/>
      <c r="J146" s="88"/>
      <c r="K146" s="88"/>
    </row>
    <row r="147" spans="1:11" ht="30" customHeight="1">
      <c r="A147" s="88" t="s">
        <v>140</v>
      </c>
      <c r="B147" s="88"/>
      <c r="C147" s="88"/>
      <c r="D147" s="88"/>
      <c r="E147" s="88"/>
      <c r="F147" s="88"/>
      <c r="G147" s="88"/>
      <c r="H147" s="88"/>
      <c r="I147" s="88"/>
      <c r="J147" s="88"/>
      <c r="K147" s="88"/>
    </row>
    <row r="148" spans="1:11" ht="15" customHeight="1">
      <c r="A148" s="88" t="s">
        <v>141</v>
      </c>
      <c r="B148" s="88"/>
      <c r="C148" s="88"/>
      <c r="D148" s="88"/>
      <c r="E148" s="88"/>
      <c r="F148" s="88"/>
      <c r="G148" s="88"/>
      <c r="H148" s="88"/>
      <c r="I148" s="88"/>
      <c r="J148" s="88"/>
      <c r="K148" s="88"/>
    </row>
    <row r="149" spans="1:11" ht="42.75" customHeight="1">
      <c r="A149" s="88" t="s">
        <v>142</v>
      </c>
      <c r="B149" s="88"/>
      <c r="C149" s="88"/>
      <c r="D149" s="88"/>
      <c r="E149" s="88"/>
      <c r="F149" s="88"/>
      <c r="G149" s="88"/>
      <c r="H149" s="88"/>
      <c r="I149" s="88"/>
      <c r="J149" s="88"/>
      <c r="K149" s="88"/>
    </row>
    <row r="150" spans="1:11" ht="45" customHeight="1">
      <c r="A150" s="87" t="s">
        <v>143</v>
      </c>
      <c r="B150" s="87"/>
      <c r="C150" s="87"/>
      <c r="D150" s="87"/>
      <c r="E150" s="87"/>
      <c r="F150" s="87"/>
      <c r="G150" s="87"/>
      <c r="H150" s="87"/>
      <c r="I150" s="87"/>
      <c r="J150" s="87"/>
      <c r="K150" s="87"/>
    </row>
    <row r="151" spans="1:11" ht="30" customHeight="1">
      <c r="A151" s="87" t="s">
        <v>144</v>
      </c>
      <c r="B151" s="87"/>
      <c r="C151" s="87"/>
      <c r="D151" s="87"/>
      <c r="E151" s="87"/>
      <c r="F151" s="87"/>
      <c r="G151" s="87"/>
      <c r="H151" s="87"/>
      <c r="I151" s="87"/>
      <c r="J151" s="87"/>
      <c r="K151" s="87"/>
    </row>
    <row r="152" spans="1:11" ht="30" customHeight="1">
      <c r="A152" s="87" t="s">
        <v>145</v>
      </c>
      <c r="B152" s="87"/>
      <c r="C152" s="87"/>
      <c r="D152" s="87"/>
      <c r="E152" s="87"/>
      <c r="F152" s="87"/>
      <c r="G152" s="87"/>
      <c r="H152" s="87"/>
      <c r="I152" s="87"/>
      <c r="J152" s="87"/>
      <c r="K152" s="87"/>
    </row>
    <row r="153" spans="1:11" ht="64.5" customHeight="1">
      <c r="A153" s="87" t="s">
        <v>146</v>
      </c>
      <c r="B153" s="87"/>
      <c r="C153" s="87"/>
      <c r="D153" s="87"/>
      <c r="E153" s="87"/>
      <c r="F153" s="87"/>
      <c r="G153" s="87"/>
      <c r="H153" s="87"/>
      <c r="I153" s="87"/>
      <c r="J153" s="87"/>
      <c r="K153" s="87"/>
    </row>
    <row r="154" spans="1:11" ht="44.25" customHeight="1">
      <c r="A154" s="87" t="s">
        <v>147</v>
      </c>
      <c r="B154" s="87"/>
      <c r="C154" s="87"/>
      <c r="D154" s="87"/>
      <c r="E154" s="87"/>
      <c r="F154" s="87"/>
      <c r="G154" s="87"/>
      <c r="H154" s="87"/>
      <c r="I154" s="87"/>
      <c r="J154" s="87"/>
      <c r="K154" s="87"/>
    </row>
    <row r="155" spans="1:11" ht="13.15">
      <c r="A155" s="29"/>
      <c r="B155" s="24"/>
      <c r="C155" s="24"/>
      <c r="D155" s="24"/>
      <c r="E155" s="24"/>
      <c r="F155" s="24"/>
      <c r="G155" s="24"/>
      <c r="H155" s="24"/>
      <c r="I155" s="24"/>
      <c r="J155" s="24"/>
      <c r="K155" s="24"/>
    </row>
    <row r="156" spans="1:11" ht="45.75" customHeight="1">
      <c r="A156" s="86" t="s">
        <v>148</v>
      </c>
      <c r="B156" s="87"/>
      <c r="C156" s="87"/>
      <c r="D156" s="87"/>
      <c r="E156" s="87"/>
      <c r="F156" s="87"/>
      <c r="G156" s="87"/>
      <c r="H156" s="87"/>
      <c r="I156" s="87"/>
      <c r="J156" s="87"/>
      <c r="K156" s="87"/>
    </row>
    <row r="157" spans="1:11" ht="15" customHeight="1">
      <c r="A157" s="45"/>
      <c r="B157" s="45"/>
      <c r="C157" s="45"/>
      <c r="D157" s="45"/>
      <c r="E157" s="45"/>
      <c r="F157" s="45"/>
    </row>
    <row r="158" spans="1:11" ht="59.25" customHeight="1">
      <c r="A158" s="87" t="s">
        <v>149</v>
      </c>
      <c r="B158" s="87"/>
      <c r="C158" s="87"/>
      <c r="D158" s="87"/>
      <c r="E158" s="87"/>
      <c r="F158" s="87"/>
      <c r="G158" s="87"/>
      <c r="H158" s="87"/>
      <c r="I158" s="87"/>
      <c r="J158" s="87"/>
      <c r="K158" s="87"/>
    </row>
    <row r="159" spans="1:11" ht="15" customHeight="1">
      <c r="A159" s="38" t="s">
        <v>150</v>
      </c>
      <c r="B159" s="32"/>
      <c r="C159" s="32"/>
      <c r="D159" s="32"/>
      <c r="E159" s="32"/>
      <c r="F159" s="32"/>
      <c r="G159" s="32"/>
      <c r="H159" s="32"/>
      <c r="I159" s="32"/>
      <c r="J159" s="32"/>
      <c r="K159" s="32"/>
    </row>
    <row r="160" spans="1:11" ht="15" customHeight="1">
      <c r="A160" s="44"/>
      <c r="B160" s="45"/>
      <c r="C160" s="45"/>
      <c r="D160" s="45"/>
      <c r="E160" s="45"/>
      <c r="F160" s="45"/>
    </row>
    <row r="161" spans="1:11" ht="60" customHeight="1">
      <c r="A161" s="87" t="s">
        <v>151</v>
      </c>
      <c r="B161" s="87"/>
      <c r="C161" s="87"/>
      <c r="D161" s="87"/>
      <c r="E161" s="87"/>
      <c r="F161" s="87"/>
      <c r="G161" s="87"/>
      <c r="H161" s="87"/>
      <c r="I161" s="87"/>
      <c r="J161" s="87"/>
      <c r="K161" s="87"/>
    </row>
    <row r="162" spans="1:11">
      <c r="A162" s="44"/>
      <c r="B162" s="45"/>
      <c r="C162" s="45"/>
      <c r="D162" s="45"/>
      <c r="E162" s="45"/>
      <c r="F162" s="45"/>
    </row>
    <row r="163" spans="1:11">
      <c r="A163" s="43" t="s">
        <v>152</v>
      </c>
    </row>
    <row r="164" spans="1:11" ht="15" customHeight="1">
      <c r="A164" s="21" t="str">
        <f>+"New South Wales Criminal Courts Statistics " &amp;'Table Of Contents'!D$2</f>
        <v>New South Wales Criminal Courts Statistics June 2025</v>
      </c>
    </row>
    <row r="165" spans="1:11" ht="13.15">
      <c r="A165" s="24"/>
    </row>
    <row r="166" spans="1:11" ht="13.15">
      <c r="A166" s="24" t="s">
        <v>153</v>
      </c>
    </row>
    <row r="167" spans="1:11">
      <c r="A167" s="43" t="s">
        <v>154</v>
      </c>
    </row>
    <row r="168" spans="1:11" ht="13.15">
      <c r="A168" s="43" t="s">
        <v>155</v>
      </c>
    </row>
    <row r="169" spans="1:11">
      <c r="A169" s="52"/>
    </row>
  </sheetData>
  <mergeCells count="104">
    <mergeCell ref="A23:K23"/>
    <mergeCell ref="A25:K25"/>
    <mergeCell ref="A27:K27"/>
    <mergeCell ref="A32:K32"/>
    <mergeCell ref="A37:K37"/>
    <mergeCell ref="A41:K41"/>
    <mergeCell ref="A5:K5"/>
    <mergeCell ref="A7:K7"/>
    <mergeCell ref="A10:K10"/>
    <mergeCell ref="A13:K13"/>
    <mergeCell ref="A16:K16"/>
    <mergeCell ref="A21:K21"/>
    <mergeCell ref="A39:K39"/>
    <mergeCell ref="A60:K60"/>
    <mergeCell ref="A28:K28"/>
    <mergeCell ref="A62:K62"/>
    <mergeCell ref="A64:K64"/>
    <mergeCell ref="A65:K65"/>
    <mergeCell ref="A66:K66"/>
    <mergeCell ref="A68:K68"/>
    <mergeCell ref="A51:K51"/>
    <mergeCell ref="A53:K53"/>
    <mergeCell ref="A54:K54"/>
    <mergeCell ref="A56:K56"/>
    <mergeCell ref="A58:K58"/>
    <mergeCell ref="A67:K67"/>
    <mergeCell ref="A46:K46"/>
    <mergeCell ref="A47:K47"/>
    <mergeCell ref="A49:K49"/>
    <mergeCell ref="A43:K43"/>
    <mergeCell ref="A44:K44"/>
    <mergeCell ref="A45:K45"/>
    <mergeCell ref="A78:K78"/>
    <mergeCell ref="A80:K80"/>
    <mergeCell ref="A82:K82"/>
    <mergeCell ref="A84:K84"/>
    <mergeCell ref="A69:K69"/>
    <mergeCell ref="A70:K70"/>
    <mergeCell ref="A71:K71"/>
    <mergeCell ref="A74:K74"/>
    <mergeCell ref="A76:K76"/>
    <mergeCell ref="A72:K72"/>
    <mergeCell ref="A93:K93"/>
    <mergeCell ref="A94:K94"/>
    <mergeCell ref="A95:K95"/>
    <mergeCell ref="A96:K96"/>
    <mergeCell ref="A97:K97"/>
    <mergeCell ref="A98:K98"/>
    <mergeCell ref="A86:K86"/>
    <mergeCell ref="A88:K88"/>
    <mergeCell ref="A90:K90"/>
    <mergeCell ref="A92:K92"/>
    <mergeCell ref="A105:K105"/>
    <mergeCell ref="A106:K106"/>
    <mergeCell ref="A109:K109"/>
    <mergeCell ref="A110:K110"/>
    <mergeCell ref="A113:K113"/>
    <mergeCell ref="A99:K99"/>
    <mergeCell ref="A100:K100"/>
    <mergeCell ref="A101:K101"/>
    <mergeCell ref="A102:K102"/>
    <mergeCell ref="A103:K103"/>
    <mergeCell ref="A104:K104"/>
    <mergeCell ref="A111:K111"/>
    <mergeCell ref="A112:K112"/>
    <mergeCell ref="A118:K118"/>
    <mergeCell ref="A119:K119"/>
    <mergeCell ref="A120:K120"/>
    <mergeCell ref="A121:K121"/>
    <mergeCell ref="A122:K122"/>
    <mergeCell ref="A114:K114"/>
    <mergeCell ref="A115:K115"/>
    <mergeCell ref="A116:K116"/>
    <mergeCell ref="A117:K117"/>
    <mergeCell ref="A130:K130"/>
    <mergeCell ref="A131:K131"/>
    <mergeCell ref="A132:K132"/>
    <mergeCell ref="A133:K133"/>
    <mergeCell ref="A123:K123"/>
    <mergeCell ref="A124:K124"/>
    <mergeCell ref="A125:K125"/>
    <mergeCell ref="A127:K127"/>
    <mergeCell ref="A128:K128"/>
    <mergeCell ref="A129:K129"/>
    <mergeCell ref="A143:K143"/>
    <mergeCell ref="A144:K144"/>
    <mergeCell ref="A145:K145"/>
    <mergeCell ref="A146:K146"/>
    <mergeCell ref="A147:K147"/>
    <mergeCell ref="A148:K148"/>
    <mergeCell ref="A134:K134"/>
    <mergeCell ref="A136:K136"/>
    <mergeCell ref="A138:K138"/>
    <mergeCell ref="A140:K140"/>
    <mergeCell ref="A141:K141"/>
    <mergeCell ref="A156:K156"/>
    <mergeCell ref="A158:K158"/>
    <mergeCell ref="A161:K161"/>
    <mergeCell ref="A149:K149"/>
    <mergeCell ref="A150:K150"/>
    <mergeCell ref="A151:K151"/>
    <mergeCell ref="A152:K152"/>
    <mergeCell ref="A153:K153"/>
    <mergeCell ref="A154:K154"/>
  </mergeCells>
  <hyperlinks>
    <hyperlink ref="A1" location="'Table Of Contents'!C6" display="return to table of contents" xr:uid="{00000000-0004-0000-1600-000000000000}"/>
    <hyperlink ref="A159" r:id="rId1" xr:uid="{00000000-0004-0000-1600-000001000000}"/>
    <hyperlink ref="A90:K90" r:id="rId2" display="Offence type: This publication uses BOCSAR Standard Offence Classification (BSOC) 2023 to group offences. BSOC 2023 is a modified version of the Australian Bureau of Statistics Australian and New Zealand Standard Offence Classification (ANZSOC) 2023, adapted to better suit the criminal offence legislations in NSW. The tables in this report show offences classified at BSOC 2023 division, subdivision and group levels. While ‘Domestic violence related assault’ is a separate category in BSOC 2023, other domestic violence related offences are not and so are also counted in the appropriate ANZSOC categories." xr:uid="{629CBE37-17B4-438E-AAEA-CDD6EDC4F22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43E8338FDC9C408CDDDEEC826928C5" ma:contentTypeVersion="7" ma:contentTypeDescription="Create a new document." ma:contentTypeScope="" ma:versionID="e005d22b2026c16403aa2a8955f80675">
  <xsd:schema xmlns:xsd="http://www.w3.org/2001/XMLSchema" xmlns:xs="http://www.w3.org/2001/XMLSchema" xmlns:p="http://schemas.microsoft.com/office/2006/metadata/properties" xmlns:ns2="a3ecbb17-1f6f-4e68-abbf-ed5d078c7c89" xmlns:ns3="d2bc505b-9134-47ed-a2f0-2290ded54739" xmlns:ns4="1205d717-f258-4695-a62f-f57fc629dc43" xmlns:ns5="cbecc781-00c5-4158-9dd4-9d46c8013956" targetNamespace="http://schemas.microsoft.com/office/2006/metadata/properties" ma:root="true" ma:fieldsID="789de5aef639442b7cd2b5451c95967b" ns2:_="" ns3:_="" ns4:_="" ns5:_="">
    <xsd:import namespace="a3ecbb17-1f6f-4e68-abbf-ed5d078c7c89"/>
    <xsd:import namespace="d2bc505b-9134-47ed-a2f0-2290ded54739"/>
    <xsd:import namespace="1205d717-f258-4695-a62f-f57fc629dc43"/>
    <xsd:import namespace="cbecc781-00c5-4158-9dd4-9d46c80139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Tags" minOccurs="0"/>
                <xsd:element ref="ns2:Modules" minOccurs="0"/>
                <xsd:element ref="ns2:Thumbnail" minOccurs="0"/>
                <xsd:element ref="ns2:MediaServiceDateTaken" minOccurs="0"/>
                <xsd:element ref="ns2:MediaLengthInSeconds" minOccurs="0"/>
                <xsd:element ref="ns2:MediaServiceGenerationTime" minOccurs="0"/>
                <xsd:element ref="ns2:MediaServiceEventHashCode" minOccurs="0"/>
                <xsd:element ref="ns2:MediaServiceOCR" minOccurs="0"/>
                <xsd:element ref="ns2:tags0" minOccurs="0"/>
                <xsd:element ref="ns2:Reference" minOccurs="0"/>
                <xsd:element ref="ns2:MediaServiceLocation" minOccurs="0"/>
                <xsd:element ref="ns2:MediaServiceObjectDetectorVersions" minOccurs="0"/>
                <xsd:element ref="ns4:lcf76f155ced4ddcb4097134ff3c332f" minOccurs="0"/>
                <xsd:element ref="ns5:TaxCatchAll" minOccurs="0"/>
                <xsd:element ref="ns4:MediaServiceSearchProperties" minOccurs="0"/>
                <xsd:element ref="ns4:Not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ecbb17-1f6f-4e68-abbf-ed5d078c7c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Tags" ma:index="14" nillable="true" ma:displayName="Tags" ma:format="Dropdown" ma:internalName="Tags">
      <xsd:complexType>
        <xsd:complexContent>
          <xsd:extension base="dms:MultiChoiceFillIn">
            <xsd:sequence>
              <xsd:element name="Value" maxOccurs="unbounded" minOccurs="0" nillable="true">
                <xsd:simpleType>
                  <xsd:union memberTypes="dms:Text">
                    <xsd:simpleType>
                      <xsd:restriction base="dms:Choice">
                        <xsd:enumeration value="Python"/>
                        <xsd:enumeration value="Oracle"/>
                        <xsd:enumeration value="SAS"/>
                        <xsd:enumeration value="Excel"/>
                        <xsd:enumeration value="CSV"/>
                        <xsd:enumeration value="SQL"/>
                      </xsd:restriction>
                    </xsd:simpleType>
                  </xsd:union>
                </xsd:simpleType>
              </xsd:element>
            </xsd:sequence>
          </xsd:extension>
        </xsd:complexContent>
      </xsd:complexType>
    </xsd:element>
    <xsd:element name="Modules" ma:index="15" nillable="true" ma:displayName="Modules" ma:format="Dropdown" ma:internalName="Modules">
      <xsd:complexType>
        <xsd:complexContent>
          <xsd:extension base="dms:MultiChoiceFillIn">
            <xsd:sequence>
              <xsd:element name="Value" maxOccurs="unbounded" minOccurs="0" nillable="true">
                <xsd:simpleType>
                  <xsd:union memberTypes="dms:Text">
                    <xsd:simpleType>
                      <xsd:restriction base="dms:Choice">
                        <xsd:enumeration value="pandas"/>
                        <xsd:enumeration value="numpy"/>
                        <xsd:enumeration value="cx_Oracle"/>
                      </xsd:restriction>
                    </xsd:simpleType>
                  </xsd:union>
                </xsd:simpleType>
              </xsd:element>
            </xsd:sequence>
          </xsd:extension>
        </xsd:complexContent>
      </xsd:complexType>
    </xsd:element>
    <xsd:element name="Thumbnail" ma:index="16" nillable="true" ma:displayName="Thumbnail" ma:format="Thumbnail" ma:internalName="Thumbnail">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tags0" ma:index="22" nillable="true" ma:displayName="Subject" ma:format="Dropdown" ma:internalName="tags0">
      <xsd:complexType>
        <xsd:complexContent>
          <xsd:extension base="dms:MultiChoice">
            <xsd:sequence>
              <xsd:element name="Value" maxOccurs="unbounded" minOccurs="0" nillable="true">
                <xsd:simpleType>
                  <xsd:restriction base="dms:Choice">
                    <xsd:enumeration value="AVO"/>
                    <xsd:enumeration value="Bail"/>
                    <xsd:enumeration value="Remand"/>
                    <xsd:enumeration value="Children and Young People"/>
                    <xsd:enumeration value="Courts"/>
                    <xsd:enumeration value="COVID-19"/>
                    <xsd:enumeration value="Supervision"/>
                    <xsd:enumeration value="Custody"/>
                    <xsd:enumeration value="Diversion"/>
                    <xsd:enumeration value="DV"/>
                    <xsd:enumeration value="Crime"/>
                    <xsd:enumeration value="Justice Demand"/>
                    <xsd:enumeration value="LinDA"/>
                    <xsd:enumeration value="Driving"/>
                    <xsd:enumeration value="Mental Health"/>
                    <xsd:enumeration value="Parole"/>
                    <xsd:enumeration value="Sentencing"/>
                    <xsd:enumeration value="Victims"/>
                    <xsd:enumeration value="Weapons"/>
                    <xsd:enumeration value="Women"/>
                    <xsd:enumeration value="Reform"/>
                    <xsd:enumeration value="CBA"/>
                    <xsd:enumeration value="Aboriginal People"/>
                    <xsd:enumeration value="Drugs"/>
                    <xsd:enumeration value="Policing"/>
                    <xsd:enumeration value="Reoffending"/>
                    <xsd:enumeration value="Sexual Offences"/>
                    <xsd:enumeration value="Property Crime"/>
                    <xsd:enumeration value="Civil"/>
                  </xsd:restriction>
                </xsd:simpleType>
              </xsd:element>
            </xsd:sequence>
          </xsd:extension>
        </xsd:complexContent>
      </xsd:complexType>
    </xsd:element>
    <xsd:element name="Reference" ma:index="23" nillable="true" ma:displayName="Reference" ma:description="Insert TRIM Reference" ma:format="Dropdown" ma:internalName="Reference">
      <xsd:simpleType>
        <xsd:restriction base="dms:Text">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bc505b-9134-47ed-a2f0-2290ded547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05d717-f258-4695-a62f-f57fc629dc43" elementFormDefault="qualified">
    <xsd:import namespace="http://schemas.microsoft.com/office/2006/documentManagement/types"/>
    <xsd:import namespace="http://schemas.microsoft.com/office/infopath/2007/PartnerControls"/>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a4a9b5ed-3dec-4005-b770-d275ff43f163"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Notes" ma:index="30" nillable="true" ma:displayName="Notes" ma:format="Dropdown" ma:internalName="Notes">
      <xsd:simpleType>
        <xsd:restriction base="dms:Text">
          <xsd:maxLength value="255"/>
        </xsd:restrictio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ecc781-00c5-4158-9dd4-9d46c8013956"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474ef109-3520-4e77-aa0b-8a6a907347c6}" ma:internalName="TaxCatchAll" ma:showField="CatchAllData" ma:web="cbecc781-00c5-4158-9dd4-9d46c80139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humbnail xmlns="a3ecbb17-1f6f-4e68-abbf-ed5d078c7c89" xsi:nil="true"/>
    <tags0 xmlns="a3ecbb17-1f6f-4e68-abbf-ed5d078c7c89" xsi:nil="true"/>
    <Notes xmlns="1205d717-f258-4695-a62f-f57fc629dc43" xsi:nil="true"/>
    <lcf76f155ced4ddcb4097134ff3c332f xmlns="1205d717-f258-4695-a62f-f57fc629dc43">
      <Terms xmlns="http://schemas.microsoft.com/office/infopath/2007/PartnerControls"/>
    </lcf76f155ced4ddcb4097134ff3c332f>
    <Modules xmlns="a3ecbb17-1f6f-4e68-abbf-ed5d078c7c89" xsi:nil="true"/>
    <Tags xmlns="a3ecbb17-1f6f-4e68-abbf-ed5d078c7c89" xsi:nil="true"/>
    <Reference xmlns="a3ecbb17-1f6f-4e68-abbf-ed5d078c7c89" xsi:nil="true"/>
    <TaxCatchAll xmlns="cbecc781-00c5-4158-9dd4-9d46c80139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1127FA-377B-4406-92A9-5A6BE2FFEB6D}"/>
</file>

<file path=customXml/itemProps2.xml><?xml version="1.0" encoding="utf-8"?>
<ds:datastoreItem xmlns:ds="http://schemas.openxmlformats.org/officeDocument/2006/customXml" ds:itemID="{E865C15B-070E-42B4-A784-1ED77649C851}"/>
</file>

<file path=customXml/itemProps3.xml><?xml version="1.0" encoding="utf-8"?>
<ds:datastoreItem xmlns:ds="http://schemas.openxmlformats.org/officeDocument/2006/customXml" ds:itemID="{1809B61B-2C99-4DE9-BAAD-B48A04ACA7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subject/>
  <dc:creator>dgoh0</dc:creator>
  <cp:keywords/>
  <dc:description/>
  <cp:lastModifiedBy/>
  <cp:revision>1</cp:revision>
  <dcterms:created xsi:type="dcterms:W3CDTF">2015-07-27T03:28:02Z</dcterms:created>
  <dcterms:modified xsi:type="dcterms:W3CDTF">2026-04-15T07:17:36Z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0x0101002A43E8338FDC9C408CDDDEEC826928C5</vt:lpwstr>
  </property>
  <property fmtid="{D5CDD505-2E9C-101B-9397-08002B2CF9AE}" pid="3" name="MediaServiceImageTags">
    <vt:lpwstr/>
  </property>
</Properties>
</file>